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e8ed540b98adac0/Blogs/OfThat/Sources/"/>
    </mc:Choice>
  </mc:AlternateContent>
  <xr:revisionPtr revIDLastSave="384" documentId="8_{3D42578C-CE8B-441D-9EC8-C5035D0F82E1}" xr6:coauthVersionLast="45" xr6:coauthVersionMax="45" xr10:uidLastSave="{EB2E8402-B054-45FA-9E73-B0828EDA612E}"/>
  <bookViews>
    <workbookView xWindow="60120" yWindow="4725" windowWidth="19440" windowHeight="15000" activeTab="2" xr2:uid="{8CDAA8B1-2711-4ECB-9C73-CFD440C6BDF0}"/>
  </bookViews>
  <sheets>
    <sheet name="Items" sheetId="1" r:id="rId1"/>
    <sheet name="Curves" sheetId="2" r:id="rId2"/>
    <sheet name="Scored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2" i="2" l="1"/>
  <c r="C112" i="3" s="1"/>
  <c r="D112" i="2"/>
  <c r="D112" i="3" s="1"/>
  <c r="E112" i="2"/>
  <c r="E112" i="3" s="1"/>
  <c r="F112" i="2"/>
  <c r="F112" i="3" s="1"/>
  <c r="C113" i="2"/>
  <c r="C113" i="3" s="1"/>
  <c r="D113" i="2"/>
  <c r="D113" i="3" s="1"/>
  <c r="E113" i="2"/>
  <c r="E113" i="3" s="1"/>
  <c r="F113" i="2"/>
  <c r="F113" i="3" s="1"/>
  <c r="C114" i="2"/>
  <c r="C114" i="3" s="1"/>
  <c r="D114" i="2"/>
  <c r="D114" i="3" s="1"/>
  <c r="E114" i="2"/>
  <c r="E114" i="3" s="1"/>
  <c r="F114" i="2"/>
  <c r="F114" i="3" s="1"/>
  <c r="C115" i="2"/>
  <c r="C115" i="3" s="1"/>
  <c r="D115" i="2"/>
  <c r="D115" i="3" s="1"/>
  <c r="E115" i="2"/>
  <c r="E115" i="3" s="1"/>
  <c r="F115" i="2"/>
  <c r="F115" i="3" s="1"/>
  <c r="C116" i="2"/>
  <c r="C116" i="3" s="1"/>
  <c r="D116" i="2"/>
  <c r="D116" i="3" s="1"/>
  <c r="E116" i="2"/>
  <c r="E116" i="3" s="1"/>
  <c r="F116" i="2"/>
  <c r="F116" i="3" s="1"/>
  <c r="C117" i="2"/>
  <c r="C117" i="3" s="1"/>
  <c r="D117" i="2"/>
  <c r="D117" i="3" s="1"/>
  <c r="E117" i="2"/>
  <c r="E117" i="3" s="1"/>
  <c r="F117" i="2"/>
  <c r="F117" i="3" s="1"/>
  <c r="C118" i="2"/>
  <c r="C118" i="3" s="1"/>
  <c r="D118" i="2"/>
  <c r="D118" i="3" s="1"/>
  <c r="E118" i="2"/>
  <c r="E118" i="3" s="1"/>
  <c r="F118" i="2"/>
  <c r="F118" i="3" s="1"/>
  <c r="C119" i="2"/>
  <c r="C119" i="3" s="1"/>
  <c r="D119" i="2"/>
  <c r="D119" i="3" s="1"/>
  <c r="E119" i="2"/>
  <c r="E119" i="3" s="1"/>
  <c r="F119" i="2"/>
  <c r="F119" i="3" s="1"/>
  <c r="C120" i="2"/>
  <c r="C120" i="3" s="1"/>
  <c r="D120" i="2"/>
  <c r="D120" i="3" s="1"/>
  <c r="E120" i="2"/>
  <c r="E120" i="3" s="1"/>
  <c r="F120" i="2"/>
  <c r="F120" i="3" s="1"/>
  <c r="C121" i="2"/>
  <c r="C121" i="3" s="1"/>
  <c r="D121" i="2"/>
  <c r="D121" i="3" s="1"/>
  <c r="E121" i="2"/>
  <c r="E121" i="3" s="1"/>
  <c r="F121" i="2"/>
  <c r="F121" i="3" s="1"/>
  <c r="C122" i="2"/>
  <c r="C122" i="3" s="1"/>
  <c r="D122" i="2"/>
  <c r="D122" i="3" s="1"/>
  <c r="E122" i="2"/>
  <c r="E122" i="3" s="1"/>
  <c r="F122" i="2"/>
  <c r="F122" i="3" s="1"/>
  <c r="B113" i="2"/>
  <c r="B113" i="3" s="1"/>
  <c r="B114" i="2"/>
  <c r="B114" i="3" s="1"/>
  <c r="B115" i="2"/>
  <c r="B115" i="3" s="1"/>
  <c r="B116" i="2"/>
  <c r="B116" i="3" s="1"/>
  <c r="B117" i="2"/>
  <c r="B117" i="3" s="1"/>
  <c r="B118" i="2"/>
  <c r="B118" i="3" s="1"/>
  <c r="B119" i="2"/>
  <c r="B119" i="3" s="1"/>
  <c r="B120" i="2"/>
  <c r="B120" i="3" s="1"/>
  <c r="B121" i="2"/>
  <c r="B121" i="3" s="1"/>
  <c r="B122" i="2"/>
  <c r="B122" i="3" s="1"/>
  <c r="C2" i="2"/>
  <c r="C2" i="3" s="1"/>
  <c r="D2" i="2"/>
  <c r="D2" i="3" s="1"/>
  <c r="E2" i="2"/>
  <c r="E2" i="3" s="1"/>
  <c r="F2" i="2"/>
  <c r="F2" i="3" s="1"/>
  <c r="C3" i="2"/>
  <c r="C3" i="3" s="1"/>
  <c r="D3" i="2"/>
  <c r="D3" i="3" s="1"/>
  <c r="E3" i="2"/>
  <c r="E3" i="3" s="1"/>
  <c r="F3" i="2"/>
  <c r="F3" i="3" s="1"/>
  <c r="C4" i="2"/>
  <c r="C4" i="3" s="1"/>
  <c r="D4" i="2"/>
  <c r="D4" i="3" s="1"/>
  <c r="E4" i="2"/>
  <c r="E4" i="3" s="1"/>
  <c r="F4" i="2"/>
  <c r="F4" i="3" s="1"/>
  <c r="C5" i="2"/>
  <c r="C5" i="3" s="1"/>
  <c r="D5" i="2"/>
  <c r="D5" i="3" s="1"/>
  <c r="E5" i="2"/>
  <c r="E5" i="3" s="1"/>
  <c r="F5" i="2"/>
  <c r="F5" i="3" s="1"/>
  <c r="C6" i="2"/>
  <c r="C6" i="3" s="1"/>
  <c r="D6" i="2"/>
  <c r="D6" i="3" s="1"/>
  <c r="E6" i="2"/>
  <c r="E6" i="3" s="1"/>
  <c r="F6" i="2"/>
  <c r="F6" i="3" s="1"/>
  <c r="C7" i="2"/>
  <c r="C7" i="3" s="1"/>
  <c r="D7" i="2"/>
  <c r="D7" i="3" s="1"/>
  <c r="E7" i="2"/>
  <c r="E7" i="3" s="1"/>
  <c r="F7" i="2"/>
  <c r="F7" i="3" s="1"/>
  <c r="C8" i="2"/>
  <c r="C8" i="3" s="1"/>
  <c r="D8" i="2"/>
  <c r="D8" i="3" s="1"/>
  <c r="E8" i="2"/>
  <c r="E8" i="3" s="1"/>
  <c r="F8" i="2"/>
  <c r="F8" i="3" s="1"/>
  <c r="C9" i="2"/>
  <c r="C9" i="3" s="1"/>
  <c r="D9" i="2"/>
  <c r="D9" i="3" s="1"/>
  <c r="E9" i="2"/>
  <c r="E9" i="3" s="1"/>
  <c r="F9" i="2"/>
  <c r="F9" i="3" s="1"/>
  <c r="C10" i="2"/>
  <c r="C10" i="3" s="1"/>
  <c r="D10" i="2"/>
  <c r="D10" i="3" s="1"/>
  <c r="E10" i="2"/>
  <c r="E10" i="3" s="1"/>
  <c r="F10" i="2"/>
  <c r="F10" i="3" s="1"/>
  <c r="C11" i="2"/>
  <c r="C11" i="3" s="1"/>
  <c r="D11" i="2"/>
  <c r="D11" i="3" s="1"/>
  <c r="E11" i="2"/>
  <c r="E11" i="3" s="1"/>
  <c r="F11" i="2"/>
  <c r="F11" i="3" s="1"/>
  <c r="B3" i="2"/>
  <c r="B3" i="3" s="1"/>
  <c r="B4" i="2"/>
  <c r="B4" i="3" s="1"/>
  <c r="B5" i="2"/>
  <c r="B5" i="3" s="1"/>
  <c r="B6" i="2"/>
  <c r="B6" i="3" s="1"/>
  <c r="B7" i="2"/>
  <c r="B7" i="3" s="1"/>
  <c r="B8" i="2"/>
  <c r="B8" i="3" s="1"/>
  <c r="B9" i="2"/>
  <c r="B9" i="3" s="1"/>
  <c r="B10" i="2"/>
  <c r="B10" i="3" s="1"/>
  <c r="B11" i="2"/>
  <c r="B11" i="3" s="1"/>
  <c r="B2" i="2"/>
  <c r="B2" i="3" s="1"/>
  <c r="J5" i="3" a="1"/>
  <c r="J5" i="3" l="1"/>
  <c r="G122" i="3"/>
  <c r="G119" i="3"/>
  <c r="G116" i="3"/>
  <c r="G114" i="3"/>
  <c r="G11" i="3"/>
  <c r="G10" i="3"/>
  <c r="G9" i="3"/>
  <c r="G8" i="3"/>
  <c r="G7" i="3"/>
  <c r="G6" i="3"/>
  <c r="G5" i="3"/>
  <c r="G4" i="3"/>
  <c r="G3" i="3"/>
  <c r="G2" i="3"/>
  <c r="G121" i="3"/>
  <c r="G118" i="3"/>
  <c r="G117" i="3"/>
  <c r="G113" i="3"/>
  <c r="G120" i="3"/>
  <c r="G115" i="3"/>
  <c r="C13" i="2"/>
  <c r="C13" i="3" s="1"/>
  <c r="D13" i="2"/>
  <c r="D13" i="3" s="1"/>
  <c r="E13" i="2"/>
  <c r="E13" i="3" s="1"/>
  <c r="F13" i="2"/>
  <c r="F13" i="3" s="1"/>
  <c r="C14" i="2"/>
  <c r="C14" i="3" s="1"/>
  <c r="D14" i="2"/>
  <c r="D14" i="3" s="1"/>
  <c r="E14" i="2"/>
  <c r="E14" i="3" s="1"/>
  <c r="F14" i="2"/>
  <c r="F14" i="3" s="1"/>
  <c r="C15" i="2"/>
  <c r="C15" i="3" s="1"/>
  <c r="D15" i="2"/>
  <c r="D15" i="3" s="1"/>
  <c r="E15" i="2"/>
  <c r="E15" i="3" s="1"/>
  <c r="F15" i="2"/>
  <c r="F15" i="3" s="1"/>
  <c r="C16" i="2"/>
  <c r="C16" i="3" s="1"/>
  <c r="D16" i="2"/>
  <c r="D16" i="3" s="1"/>
  <c r="E16" i="2"/>
  <c r="E16" i="3" s="1"/>
  <c r="F16" i="2"/>
  <c r="F16" i="3" s="1"/>
  <c r="C17" i="2"/>
  <c r="C17" i="3" s="1"/>
  <c r="D17" i="2"/>
  <c r="D17" i="3" s="1"/>
  <c r="E17" i="2"/>
  <c r="E17" i="3" s="1"/>
  <c r="F17" i="2"/>
  <c r="F17" i="3" s="1"/>
  <c r="C18" i="2"/>
  <c r="C18" i="3" s="1"/>
  <c r="D18" i="2"/>
  <c r="D18" i="3" s="1"/>
  <c r="E18" i="2"/>
  <c r="E18" i="3" s="1"/>
  <c r="F18" i="2"/>
  <c r="F18" i="3" s="1"/>
  <c r="C19" i="2"/>
  <c r="C19" i="3" s="1"/>
  <c r="D19" i="2"/>
  <c r="D19" i="3" s="1"/>
  <c r="E19" i="2"/>
  <c r="E19" i="3" s="1"/>
  <c r="F19" i="2"/>
  <c r="F19" i="3" s="1"/>
  <c r="C20" i="2"/>
  <c r="C20" i="3" s="1"/>
  <c r="D20" i="2"/>
  <c r="D20" i="3" s="1"/>
  <c r="E20" i="2"/>
  <c r="E20" i="3" s="1"/>
  <c r="F20" i="2"/>
  <c r="F20" i="3" s="1"/>
  <c r="C21" i="2"/>
  <c r="C21" i="3" s="1"/>
  <c r="D21" i="2"/>
  <c r="D21" i="3" s="1"/>
  <c r="E21" i="2"/>
  <c r="E21" i="3" s="1"/>
  <c r="F21" i="2"/>
  <c r="F21" i="3" s="1"/>
  <c r="C22" i="2"/>
  <c r="C22" i="3" s="1"/>
  <c r="D22" i="2"/>
  <c r="D22" i="3" s="1"/>
  <c r="E22" i="2"/>
  <c r="E22" i="3" s="1"/>
  <c r="F22" i="2"/>
  <c r="F22" i="3" s="1"/>
  <c r="C23" i="2"/>
  <c r="C23" i="3" s="1"/>
  <c r="D23" i="2"/>
  <c r="D23" i="3" s="1"/>
  <c r="E23" i="2"/>
  <c r="E23" i="3" s="1"/>
  <c r="F23" i="2"/>
  <c r="F23" i="3" s="1"/>
  <c r="C24" i="2"/>
  <c r="C24" i="3" s="1"/>
  <c r="D24" i="2"/>
  <c r="D24" i="3" s="1"/>
  <c r="E24" i="2"/>
  <c r="E24" i="3" s="1"/>
  <c r="F24" i="2"/>
  <c r="F24" i="3" s="1"/>
  <c r="C25" i="2"/>
  <c r="C25" i="3" s="1"/>
  <c r="D25" i="2"/>
  <c r="D25" i="3" s="1"/>
  <c r="E25" i="2"/>
  <c r="E25" i="3" s="1"/>
  <c r="F25" i="2"/>
  <c r="F25" i="3" s="1"/>
  <c r="C26" i="2"/>
  <c r="C26" i="3" s="1"/>
  <c r="D26" i="2"/>
  <c r="D26" i="3" s="1"/>
  <c r="E26" i="2"/>
  <c r="E26" i="3" s="1"/>
  <c r="F26" i="2"/>
  <c r="F26" i="3" s="1"/>
  <c r="C27" i="2"/>
  <c r="C27" i="3" s="1"/>
  <c r="D27" i="2"/>
  <c r="D27" i="3" s="1"/>
  <c r="E27" i="2"/>
  <c r="E27" i="3" s="1"/>
  <c r="F27" i="2"/>
  <c r="F27" i="3" s="1"/>
  <c r="C28" i="2"/>
  <c r="C28" i="3" s="1"/>
  <c r="D28" i="2"/>
  <c r="D28" i="3" s="1"/>
  <c r="E28" i="2"/>
  <c r="E28" i="3" s="1"/>
  <c r="F28" i="2"/>
  <c r="F28" i="3" s="1"/>
  <c r="C29" i="2"/>
  <c r="C29" i="3" s="1"/>
  <c r="D29" i="2"/>
  <c r="D29" i="3" s="1"/>
  <c r="E29" i="2"/>
  <c r="E29" i="3" s="1"/>
  <c r="F29" i="2"/>
  <c r="F29" i="3" s="1"/>
  <c r="C30" i="2"/>
  <c r="C30" i="3" s="1"/>
  <c r="D30" i="2"/>
  <c r="D30" i="3" s="1"/>
  <c r="E30" i="2"/>
  <c r="E30" i="3" s="1"/>
  <c r="F30" i="2"/>
  <c r="F30" i="3" s="1"/>
  <c r="C31" i="2"/>
  <c r="C31" i="3" s="1"/>
  <c r="D31" i="2"/>
  <c r="D31" i="3" s="1"/>
  <c r="E31" i="2"/>
  <c r="E31" i="3" s="1"/>
  <c r="F31" i="2"/>
  <c r="F31" i="3" s="1"/>
  <c r="C32" i="2"/>
  <c r="C32" i="3" s="1"/>
  <c r="D32" i="2"/>
  <c r="D32" i="3" s="1"/>
  <c r="E32" i="2"/>
  <c r="E32" i="3" s="1"/>
  <c r="F32" i="2"/>
  <c r="F32" i="3" s="1"/>
  <c r="C33" i="2"/>
  <c r="C33" i="3" s="1"/>
  <c r="D33" i="2"/>
  <c r="D33" i="3" s="1"/>
  <c r="E33" i="2"/>
  <c r="E33" i="3" s="1"/>
  <c r="F33" i="2"/>
  <c r="F33" i="3" s="1"/>
  <c r="C34" i="2"/>
  <c r="C34" i="3" s="1"/>
  <c r="D34" i="2"/>
  <c r="D34" i="3" s="1"/>
  <c r="E34" i="2"/>
  <c r="E34" i="3" s="1"/>
  <c r="F34" i="2"/>
  <c r="F34" i="3" s="1"/>
  <c r="C35" i="2"/>
  <c r="C35" i="3" s="1"/>
  <c r="D35" i="2"/>
  <c r="D35" i="3" s="1"/>
  <c r="E35" i="2"/>
  <c r="E35" i="3" s="1"/>
  <c r="F35" i="2"/>
  <c r="F35" i="3" s="1"/>
  <c r="C36" i="2"/>
  <c r="C36" i="3" s="1"/>
  <c r="D36" i="2"/>
  <c r="D36" i="3" s="1"/>
  <c r="E36" i="2"/>
  <c r="E36" i="3" s="1"/>
  <c r="F36" i="2"/>
  <c r="F36" i="3" s="1"/>
  <c r="C37" i="2"/>
  <c r="C37" i="3" s="1"/>
  <c r="D37" i="2"/>
  <c r="D37" i="3" s="1"/>
  <c r="E37" i="2"/>
  <c r="E37" i="3" s="1"/>
  <c r="F37" i="2"/>
  <c r="F37" i="3" s="1"/>
  <c r="C38" i="2"/>
  <c r="C38" i="3" s="1"/>
  <c r="D38" i="2"/>
  <c r="D38" i="3" s="1"/>
  <c r="E38" i="2"/>
  <c r="E38" i="3" s="1"/>
  <c r="F38" i="2"/>
  <c r="F38" i="3" s="1"/>
  <c r="C39" i="2"/>
  <c r="C39" i="3" s="1"/>
  <c r="D39" i="2"/>
  <c r="D39" i="3" s="1"/>
  <c r="E39" i="2"/>
  <c r="E39" i="3" s="1"/>
  <c r="F39" i="2"/>
  <c r="F39" i="3" s="1"/>
  <c r="C40" i="2"/>
  <c r="C40" i="3" s="1"/>
  <c r="D40" i="2"/>
  <c r="D40" i="3" s="1"/>
  <c r="E40" i="2"/>
  <c r="E40" i="3" s="1"/>
  <c r="F40" i="2"/>
  <c r="F40" i="3" s="1"/>
  <c r="C41" i="2"/>
  <c r="C41" i="3" s="1"/>
  <c r="D41" i="2"/>
  <c r="D41" i="3" s="1"/>
  <c r="E41" i="2"/>
  <c r="E41" i="3" s="1"/>
  <c r="F41" i="2"/>
  <c r="F41" i="3" s="1"/>
  <c r="C42" i="2"/>
  <c r="C42" i="3" s="1"/>
  <c r="D42" i="2"/>
  <c r="D42" i="3" s="1"/>
  <c r="E42" i="2"/>
  <c r="E42" i="3" s="1"/>
  <c r="F42" i="2"/>
  <c r="F42" i="3" s="1"/>
  <c r="C43" i="2"/>
  <c r="C43" i="3" s="1"/>
  <c r="D43" i="2"/>
  <c r="D43" i="3" s="1"/>
  <c r="E43" i="2"/>
  <c r="E43" i="3" s="1"/>
  <c r="F43" i="2"/>
  <c r="F43" i="3" s="1"/>
  <c r="C44" i="2"/>
  <c r="C44" i="3" s="1"/>
  <c r="D44" i="2"/>
  <c r="D44" i="3" s="1"/>
  <c r="E44" i="2"/>
  <c r="E44" i="3" s="1"/>
  <c r="F44" i="2"/>
  <c r="F44" i="3" s="1"/>
  <c r="C45" i="2"/>
  <c r="C45" i="3" s="1"/>
  <c r="D45" i="2"/>
  <c r="D45" i="3" s="1"/>
  <c r="E45" i="2"/>
  <c r="E45" i="3" s="1"/>
  <c r="F45" i="2"/>
  <c r="F45" i="3" s="1"/>
  <c r="C46" i="2"/>
  <c r="C46" i="3" s="1"/>
  <c r="D46" i="2"/>
  <c r="D46" i="3" s="1"/>
  <c r="E46" i="2"/>
  <c r="E46" i="3" s="1"/>
  <c r="F46" i="2"/>
  <c r="F46" i="3" s="1"/>
  <c r="C47" i="2"/>
  <c r="C47" i="3" s="1"/>
  <c r="D47" i="2"/>
  <c r="D47" i="3" s="1"/>
  <c r="E47" i="2"/>
  <c r="E47" i="3" s="1"/>
  <c r="F47" i="2"/>
  <c r="F47" i="3" s="1"/>
  <c r="C48" i="2"/>
  <c r="C48" i="3" s="1"/>
  <c r="D48" i="2"/>
  <c r="D48" i="3" s="1"/>
  <c r="E48" i="2"/>
  <c r="E48" i="3" s="1"/>
  <c r="F48" i="2"/>
  <c r="F48" i="3" s="1"/>
  <c r="C49" i="2"/>
  <c r="C49" i="3" s="1"/>
  <c r="D49" i="2"/>
  <c r="D49" i="3" s="1"/>
  <c r="E49" i="2"/>
  <c r="E49" i="3" s="1"/>
  <c r="F49" i="2"/>
  <c r="F49" i="3" s="1"/>
  <c r="C50" i="2"/>
  <c r="C50" i="3" s="1"/>
  <c r="D50" i="2"/>
  <c r="D50" i="3" s="1"/>
  <c r="E50" i="2"/>
  <c r="E50" i="3" s="1"/>
  <c r="F50" i="2"/>
  <c r="F50" i="3" s="1"/>
  <c r="C51" i="2"/>
  <c r="C51" i="3" s="1"/>
  <c r="D51" i="2"/>
  <c r="D51" i="3" s="1"/>
  <c r="E51" i="2"/>
  <c r="E51" i="3" s="1"/>
  <c r="F51" i="2"/>
  <c r="F51" i="3" s="1"/>
  <c r="C52" i="2"/>
  <c r="C52" i="3" s="1"/>
  <c r="D52" i="2"/>
  <c r="D52" i="3" s="1"/>
  <c r="E52" i="2"/>
  <c r="E52" i="3" s="1"/>
  <c r="F52" i="2"/>
  <c r="F52" i="3" s="1"/>
  <c r="C53" i="2"/>
  <c r="C53" i="3" s="1"/>
  <c r="D53" i="2"/>
  <c r="D53" i="3" s="1"/>
  <c r="E53" i="2"/>
  <c r="E53" i="3" s="1"/>
  <c r="F53" i="2"/>
  <c r="F53" i="3" s="1"/>
  <c r="C54" i="2"/>
  <c r="C54" i="3" s="1"/>
  <c r="D54" i="2"/>
  <c r="D54" i="3" s="1"/>
  <c r="E54" i="2"/>
  <c r="E54" i="3" s="1"/>
  <c r="F54" i="2"/>
  <c r="F54" i="3" s="1"/>
  <c r="C55" i="2"/>
  <c r="C55" i="3" s="1"/>
  <c r="D55" i="2"/>
  <c r="D55" i="3" s="1"/>
  <c r="E55" i="2"/>
  <c r="E55" i="3" s="1"/>
  <c r="F55" i="2"/>
  <c r="F55" i="3" s="1"/>
  <c r="C56" i="2"/>
  <c r="C56" i="3" s="1"/>
  <c r="D56" i="2"/>
  <c r="D56" i="3" s="1"/>
  <c r="E56" i="2"/>
  <c r="E56" i="3" s="1"/>
  <c r="F56" i="2"/>
  <c r="F56" i="3" s="1"/>
  <c r="C57" i="2"/>
  <c r="C57" i="3" s="1"/>
  <c r="D57" i="2"/>
  <c r="D57" i="3" s="1"/>
  <c r="E57" i="2"/>
  <c r="E57" i="3" s="1"/>
  <c r="F57" i="2"/>
  <c r="F57" i="3" s="1"/>
  <c r="C58" i="2"/>
  <c r="C58" i="3" s="1"/>
  <c r="D58" i="2"/>
  <c r="D58" i="3" s="1"/>
  <c r="E58" i="2"/>
  <c r="E58" i="3" s="1"/>
  <c r="F58" i="2"/>
  <c r="F58" i="3" s="1"/>
  <c r="C59" i="2"/>
  <c r="C59" i="3" s="1"/>
  <c r="D59" i="2"/>
  <c r="D59" i="3" s="1"/>
  <c r="E59" i="2"/>
  <c r="E59" i="3" s="1"/>
  <c r="F59" i="2"/>
  <c r="F59" i="3" s="1"/>
  <c r="C60" i="2"/>
  <c r="C60" i="3" s="1"/>
  <c r="D60" i="2"/>
  <c r="D60" i="3" s="1"/>
  <c r="E60" i="2"/>
  <c r="E60" i="3" s="1"/>
  <c r="F60" i="2"/>
  <c r="F60" i="3" s="1"/>
  <c r="C61" i="2"/>
  <c r="C61" i="3" s="1"/>
  <c r="D61" i="2"/>
  <c r="D61" i="3" s="1"/>
  <c r="E61" i="2"/>
  <c r="E61" i="3" s="1"/>
  <c r="F61" i="2"/>
  <c r="F61" i="3" s="1"/>
  <c r="C62" i="2"/>
  <c r="C62" i="3" s="1"/>
  <c r="D62" i="2"/>
  <c r="D62" i="3" s="1"/>
  <c r="E62" i="2"/>
  <c r="E62" i="3" s="1"/>
  <c r="F62" i="2"/>
  <c r="F62" i="3" s="1"/>
  <c r="C63" i="2"/>
  <c r="C63" i="3" s="1"/>
  <c r="D63" i="2"/>
  <c r="D63" i="3" s="1"/>
  <c r="E63" i="2"/>
  <c r="E63" i="3" s="1"/>
  <c r="F63" i="2"/>
  <c r="F63" i="3" s="1"/>
  <c r="C64" i="2"/>
  <c r="C64" i="3" s="1"/>
  <c r="D64" i="2"/>
  <c r="D64" i="3" s="1"/>
  <c r="E64" i="2"/>
  <c r="E64" i="3" s="1"/>
  <c r="F64" i="2"/>
  <c r="F64" i="3" s="1"/>
  <c r="C65" i="2"/>
  <c r="C65" i="3" s="1"/>
  <c r="D65" i="2"/>
  <c r="D65" i="3" s="1"/>
  <c r="E65" i="2"/>
  <c r="E65" i="3" s="1"/>
  <c r="F65" i="2"/>
  <c r="F65" i="3" s="1"/>
  <c r="C66" i="2"/>
  <c r="C66" i="3" s="1"/>
  <c r="D66" i="2"/>
  <c r="D66" i="3" s="1"/>
  <c r="E66" i="2"/>
  <c r="E66" i="3" s="1"/>
  <c r="F66" i="2"/>
  <c r="F66" i="3" s="1"/>
  <c r="C67" i="2"/>
  <c r="C67" i="3" s="1"/>
  <c r="D67" i="2"/>
  <c r="D67" i="3" s="1"/>
  <c r="E67" i="2"/>
  <c r="E67" i="3" s="1"/>
  <c r="F67" i="2"/>
  <c r="F67" i="3" s="1"/>
  <c r="C68" i="2"/>
  <c r="C68" i="3" s="1"/>
  <c r="D68" i="2"/>
  <c r="D68" i="3" s="1"/>
  <c r="E68" i="2"/>
  <c r="E68" i="3" s="1"/>
  <c r="F68" i="2"/>
  <c r="F68" i="3" s="1"/>
  <c r="C69" i="2"/>
  <c r="C69" i="3" s="1"/>
  <c r="D69" i="2"/>
  <c r="D69" i="3" s="1"/>
  <c r="E69" i="2"/>
  <c r="E69" i="3" s="1"/>
  <c r="F69" i="2"/>
  <c r="F69" i="3" s="1"/>
  <c r="C70" i="2"/>
  <c r="C70" i="3" s="1"/>
  <c r="D70" i="2"/>
  <c r="D70" i="3" s="1"/>
  <c r="E70" i="2"/>
  <c r="E70" i="3" s="1"/>
  <c r="F70" i="2"/>
  <c r="F70" i="3" s="1"/>
  <c r="C71" i="2"/>
  <c r="C71" i="3" s="1"/>
  <c r="D71" i="2"/>
  <c r="D71" i="3" s="1"/>
  <c r="E71" i="2"/>
  <c r="E71" i="3" s="1"/>
  <c r="F71" i="2"/>
  <c r="F71" i="3" s="1"/>
  <c r="C72" i="2"/>
  <c r="C72" i="3" s="1"/>
  <c r="D72" i="2"/>
  <c r="D72" i="3" s="1"/>
  <c r="E72" i="2"/>
  <c r="E72" i="3" s="1"/>
  <c r="F72" i="2"/>
  <c r="F72" i="3" s="1"/>
  <c r="C73" i="2"/>
  <c r="C73" i="3" s="1"/>
  <c r="D73" i="2"/>
  <c r="D73" i="3" s="1"/>
  <c r="E73" i="2"/>
  <c r="E73" i="3" s="1"/>
  <c r="F73" i="2"/>
  <c r="F73" i="3" s="1"/>
  <c r="C74" i="2"/>
  <c r="C74" i="3" s="1"/>
  <c r="D74" i="2"/>
  <c r="D74" i="3" s="1"/>
  <c r="E74" i="2"/>
  <c r="E74" i="3" s="1"/>
  <c r="F74" i="2"/>
  <c r="F74" i="3" s="1"/>
  <c r="C75" i="2"/>
  <c r="C75" i="3" s="1"/>
  <c r="D75" i="2"/>
  <c r="D75" i="3" s="1"/>
  <c r="E75" i="2"/>
  <c r="E75" i="3" s="1"/>
  <c r="F75" i="2"/>
  <c r="F75" i="3" s="1"/>
  <c r="C76" i="2"/>
  <c r="C76" i="3" s="1"/>
  <c r="D76" i="2"/>
  <c r="D76" i="3" s="1"/>
  <c r="E76" i="2"/>
  <c r="E76" i="3" s="1"/>
  <c r="F76" i="2"/>
  <c r="F76" i="3" s="1"/>
  <c r="C77" i="2"/>
  <c r="C77" i="3" s="1"/>
  <c r="D77" i="2"/>
  <c r="D77" i="3" s="1"/>
  <c r="E77" i="2"/>
  <c r="E77" i="3" s="1"/>
  <c r="F77" i="2"/>
  <c r="F77" i="3" s="1"/>
  <c r="C78" i="2"/>
  <c r="C78" i="3" s="1"/>
  <c r="D78" i="2"/>
  <c r="D78" i="3" s="1"/>
  <c r="E78" i="2"/>
  <c r="E78" i="3" s="1"/>
  <c r="F78" i="2"/>
  <c r="F78" i="3" s="1"/>
  <c r="C79" i="2"/>
  <c r="C79" i="3" s="1"/>
  <c r="D79" i="2"/>
  <c r="D79" i="3" s="1"/>
  <c r="E79" i="2"/>
  <c r="E79" i="3" s="1"/>
  <c r="F79" i="2"/>
  <c r="F79" i="3" s="1"/>
  <c r="C80" i="2"/>
  <c r="C80" i="3" s="1"/>
  <c r="D80" i="2"/>
  <c r="D80" i="3" s="1"/>
  <c r="E80" i="2"/>
  <c r="E80" i="3" s="1"/>
  <c r="F80" i="2"/>
  <c r="F80" i="3" s="1"/>
  <c r="C81" i="2"/>
  <c r="C81" i="3" s="1"/>
  <c r="D81" i="2"/>
  <c r="D81" i="3" s="1"/>
  <c r="E81" i="2"/>
  <c r="E81" i="3" s="1"/>
  <c r="F81" i="2"/>
  <c r="F81" i="3" s="1"/>
  <c r="C82" i="2"/>
  <c r="C82" i="3" s="1"/>
  <c r="D82" i="2"/>
  <c r="D82" i="3" s="1"/>
  <c r="E82" i="2"/>
  <c r="E82" i="3" s="1"/>
  <c r="F82" i="2"/>
  <c r="F82" i="3" s="1"/>
  <c r="C83" i="2"/>
  <c r="C83" i="3" s="1"/>
  <c r="D83" i="2"/>
  <c r="D83" i="3" s="1"/>
  <c r="E83" i="2"/>
  <c r="E83" i="3" s="1"/>
  <c r="F83" i="2"/>
  <c r="F83" i="3" s="1"/>
  <c r="C84" i="2"/>
  <c r="C84" i="3" s="1"/>
  <c r="D84" i="2"/>
  <c r="D84" i="3" s="1"/>
  <c r="E84" i="2"/>
  <c r="E84" i="3" s="1"/>
  <c r="F84" i="2"/>
  <c r="F84" i="3" s="1"/>
  <c r="C85" i="2"/>
  <c r="C85" i="3" s="1"/>
  <c r="D85" i="2"/>
  <c r="D85" i="3" s="1"/>
  <c r="E85" i="2"/>
  <c r="E85" i="3" s="1"/>
  <c r="F85" i="2"/>
  <c r="F85" i="3" s="1"/>
  <c r="C86" i="2"/>
  <c r="C86" i="3" s="1"/>
  <c r="D86" i="2"/>
  <c r="D86" i="3" s="1"/>
  <c r="E86" i="2"/>
  <c r="E86" i="3" s="1"/>
  <c r="F86" i="2"/>
  <c r="F86" i="3" s="1"/>
  <c r="C87" i="2"/>
  <c r="C87" i="3" s="1"/>
  <c r="D87" i="2"/>
  <c r="D87" i="3" s="1"/>
  <c r="E87" i="2"/>
  <c r="E87" i="3" s="1"/>
  <c r="F87" i="2"/>
  <c r="F87" i="3" s="1"/>
  <c r="C88" i="2"/>
  <c r="C88" i="3" s="1"/>
  <c r="D88" i="2"/>
  <c r="D88" i="3" s="1"/>
  <c r="E88" i="2"/>
  <c r="E88" i="3" s="1"/>
  <c r="F88" i="2"/>
  <c r="F88" i="3" s="1"/>
  <c r="C89" i="2"/>
  <c r="C89" i="3" s="1"/>
  <c r="D89" i="2"/>
  <c r="D89" i="3" s="1"/>
  <c r="E89" i="2"/>
  <c r="E89" i="3" s="1"/>
  <c r="F89" i="2"/>
  <c r="F89" i="3" s="1"/>
  <c r="C90" i="2"/>
  <c r="C90" i="3" s="1"/>
  <c r="D90" i="2"/>
  <c r="D90" i="3" s="1"/>
  <c r="E90" i="2"/>
  <c r="E90" i="3" s="1"/>
  <c r="F90" i="2"/>
  <c r="F90" i="3" s="1"/>
  <c r="C91" i="2"/>
  <c r="C91" i="3" s="1"/>
  <c r="D91" i="2"/>
  <c r="D91" i="3" s="1"/>
  <c r="E91" i="2"/>
  <c r="E91" i="3" s="1"/>
  <c r="F91" i="2"/>
  <c r="F91" i="3" s="1"/>
  <c r="C92" i="2"/>
  <c r="C92" i="3" s="1"/>
  <c r="D92" i="2"/>
  <c r="D92" i="3" s="1"/>
  <c r="E92" i="2"/>
  <c r="E92" i="3" s="1"/>
  <c r="F92" i="2"/>
  <c r="F92" i="3" s="1"/>
  <c r="C93" i="2"/>
  <c r="C93" i="3" s="1"/>
  <c r="D93" i="2"/>
  <c r="D93" i="3" s="1"/>
  <c r="E93" i="2"/>
  <c r="E93" i="3" s="1"/>
  <c r="F93" i="2"/>
  <c r="F93" i="3" s="1"/>
  <c r="C94" i="2"/>
  <c r="C94" i="3" s="1"/>
  <c r="D94" i="2"/>
  <c r="D94" i="3" s="1"/>
  <c r="E94" i="2"/>
  <c r="E94" i="3" s="1"/>
  <c r="F94" i="2"/>
  <c r="F94" i="3" s="1"/>
  <c r="C95" i="2"/>
  <c r="C95" i="3" s="1"/>
  <c r="D95" i="2"/>
  <c r="D95" i="3" s="1"/>
  <c r="E95" i="2"/>
  <c r="E95" i="3" s="1"/>
  <c r="F95" i="2"/>
  <c r="F95" i="3" s="1"/>
  <c r="C96" i="2"/>
  <c r="C96" i="3" s="1"/>
  <c r="D96" i="2"/>
  <c r="D96" i="3" s="1"/>
  <c r="E96" i="2"/>
  <c r="E96" i="3" s="1"/>
  <c r="F96" i="2"/>
  <c r="F96" i="3" s="1"/>
  <c r="C97" i="2"/>
  <c r="C97" i="3" s="1"/>
  <c r="D97" i="2"/>
  <c r="D97" i="3" s="1"/>
  <c r="E97" i="2"/>
  <c r="E97" i="3" s="1"/>
  <c r="F97" i="2"/>
  <c r="F97" i="3" s="1"/>
  <c r="C98" i="2"/>
  <c r="C98" i="3" s="1"/>
  <c r="D98" i="2"/>
  <c r="D98" i="3" s="1"/>
  <c r="E98" i="2"/>
  <c r="E98" i="3" s="1"/>
  <c r="F98" i="2"/>
  <c r="F98" i="3" s="1"/>
  <c r="C99" i="2"/>
  <c r="C99" i="3" s="1"/>
  <c r="D99" i="2"/>
  <c r="D99" i="3" s="1"/>
  <c r="E99" i="2"/>
  <c r="E99" i="3" s="1"/>
  <c r="F99" i="2"/>
  <c r="F99" i="3" s="1"/>
  <c r="C100" i="2"/>
  <c r="C100" i="3" s="1"/>
  <c r="D100" i="2"/>
  <c r="D100" i="3" s="1"/>
  <c r="E100" i="2"/>
  <c r="E100" i="3" s="1"/>
  <c r="F100" i="2"/>
  <c r="F100" i="3" s="1"/>
  <c r="C101" i="2"/>
  <c r="C101" i="3" s="1"/>
  <c r="D101" i="2"/>
  <c r="D101" i="3" s="1"/>
  <c r="E101" i="2"/>
  <c r="E101" i="3" s="1"/>
  <c r="F101" i="2"/>
  <c r="F101" i="3" s="1"/>
  <c r="C102" i="2"/>
  <c r="C102" i="3" s="1"/>
  <c r="D102" i="2"/>
  <c r="D102" i="3" s="1"/>
  <c r="E102" i="2"/>
  <c r="E102" i="3" s="1"/>
  <c r="F102" i="2"/>
  <c r="F102" i="3" s="1"/>
  <c r="C103" i="2"/>
  <c r="C103" i="3" s="1"/>
  <c r="D103" i="2"/>
  <c r="D103" i="3" s="1"/>
  <c r="E103" i="2"/>
  <c r="E103" i="3" s="1"/>
  <c r="F103" i="2"/>
  <c r="F103" i="3" s="1"/>
  <c r="C104" i="2"/>
  <c r="C104" i="3" s="1"/>
  <c r="D104" i="2"/>
  <c r="D104" i="3" s="1"/>
  <c r="E104" i="2"/>
  <c r="E104" i="3" s="1"/>
  <c r="F104" i="2"/>
  <c r="F104" i="3" s="1"/>
  <c r="C105" i="2"/>
  <c r="C105" i="3" s="1"/>
  <c r="D105" i="2"/>
  <c r="D105" i="3" s="1"/>
  <c r="E105" i="2"/>
  <c r="E105" i="3" s="1"/>
  <c r="F105" i="2"/>
  <c r="F105" i="3" s="1"/>
  <c r="C106" i="2"/>
  <c r="C106" i="3" s="1"/>
  <c r="D106" i="2"/>
  <c r="D106" i="3" s="1"/>
  <c r="E106" i="2"/>
  <c r="E106" i="3" s="1"/>
  <c r="F106" i="2"/>
  <c r="F106" i="3" s="1"/>
  <c r="C107" i="2"/>
  <c r="C107" i="3" s="1"/>
  <c r="D107" i="2"/>
  <c r="D107" i="3" s="1"/>
  <c r="E107" i="2"/>
  <c r="E107" i="3" s="1"/>
  <c r="F107" i="2"/>
  <c r="F107" i="3" s="1"/>
  <c r="C108" i="2"/>
  <c r="C108" i="3" s="1"/>
  <c r="D108" i="2"/>
  <c r="D108" i="3" s="1"/>
  <c r="E108" i="2"/>
  <c r="E108" i="3" s="1"/>
  <c r="F108" i="2"/>
  <c r="F108" i="3" s="1"/>
  <c r="C109" i="2"/>
  <c r="C109" i="3" s="1"/>
  <c r="D109" i="2"/>
  <c r="D109" i="3" s="1"/>
  <c r="E109" i="2"/>
  <c r="E109" i="3" s="1"/>
  <c r="F109" i="2"/>
  <c r="F109" i="3" s="1"/>
  <c r="C110" i="2"/>
  <c r="C110" i="3" s="1"/>
  <c r="D110" i="2"/>
  <c r="D110" i="3" s="1"/>
  <c r="E110" i="2"/>
  <c r="E110" i="3" s="1"/>
  <c r="F110" i="2"/>
  <c r="F110" i="3" s="1"/>
  <c r="C111" i="2"/>
  <c r="C111" i="3" s="1"/>
  <c r="D111" i="2"/>
  <c r="D111" i="3" s="1"/>
  <c r="E111" i="2"/>
  <c r="E111" i="3" s="1"/>
  <c r="F111" i="2"/>
  <c r="F111" i="3" s="1"/>
  <c r="C12" i="2"/>
  <c r="C12" i="3" s="1"/>
  <c r="D12" i="2"/>
  <c r="D12" i="3" s="1"/>
  <c r="E12" i="2"/>
  <c r="E12" i="3" s="1"/>
  <c r="F12" i="2"/>
  <c r="F12" i="3" s="1"/>
  <c r="B13" i="2"/>
  <c r="B13" i="3" s="1"/>
  <c r="B14" i="2"/>
  <c r="B14" i="3" s="1"/>
  <c r="B15" i="2"/>
  <c r="B15" i="3" s="1"/>
  <c r="B16" i="2"/>
  <c r="B16" i="3" s="1"/>
  <c r="B17" i="2"/>
  <c r="B17" i="3" s="1"/>
  <c r="B18" i="2"/>
  <c r="B18" i="3" s="1"/>
  <c r="B19" i="2"/>
  <c r="B19" i="3" s="1"/>
  <c r="B20" i="2"/>
  <c r="B20" i="3" s="1"/>
  <c r="B21" i="2"/>
  <c r="B21" i="3" s="1"/>
  <c r="B22" i="2"/>
  <c r="B22" i="3" s="1"/>
  <c r="B23" i="2"/>
  <c r="B23" i="3" s="1"/>
  <c r="B24" i="2"/>
  <c r="B24" i="3" s="1"/>
  <c r="B25" i="2"/>
  <c r="B25" i="3" s="1"/>
  <c r="B26" i="2"/>
  <c r="B26" i="3" s="1"/>
  <c r="B27" i="2"/>
  <c r="B27" i="3" s="1"/>
  <c r="B28" i="2"/>
  <c r="B28" i="3" s="1"/>
  <c r="B29" i="2"/>
  <c r="B29" i="3" s="1"/>
  <c r="B30" i="2"/>
  <c r="B30" i="3" s="1"/>
  <c r="B31" i="2"/>
  <c r="B31" i="3" s="1"/>
  <c r="B32" i="2"/>
  <c r="B32" i="3" s="1"/>
  <c r="B33" i="2"/>
  <c r="B33" i="3" s="1"/>
  <c r="B34" i="2"/>
  <c r="B34" i="3" s="1"/>
  <c r="B35" i="2"/>
  <c r="B35" i="3" s="1"/>
  <c r="B36" i="2"/>
  <c r="B36" i="3" s="1"/>
  <c r="B37" i="2"/>
  <c r="B37" i="3" s="1"/>
  <c r="B38" i="2"/>
  <c r="B38" i="3" s="1"/>
  <c r="B39" i="2"/>
  <c r="B39" i="3" s="1"/>
  <c r="B40" i="2"/>
  <c r="B40" i="3" s="1"/>
  <c r="B41" i="2"/>
  <c r="B41" i="3" s="1"/>
  <c r="B42" i="2"/>
  <c r="B42" i="3" s="1"/>
  <c r="B43" i="2"/>
  <c r="B43" i="3" s="1"/>
  <c r="B44" i="2"/>
  <c r="B44" i="3" s="1"/>
  <c r="B45" i="2"/>
  <c r="B45" i="3" s="1"/>
  <c r="B46" i="2"/>
  <c r="B46" i="3" s="1"/>
  <c r="B47" i="2"/>
  <c r="B47" i="3" s="1"/>
  <c r="B48" i="2"/>
  <c r="B48" i="3" s="1"/>
  <c r="B49" i="2"/>
  <c r="B49" i="3" s="1"/>
  <c r="B50" i="2"/>
  <c r="B50" i="3" s="1"/>
  <c r="B51" i="2"/>
  <c r="B51" i="3" s="1"/>
  <c r="B52" i="2"/>
  <c r="B52" i="3" s="1"/>
  <c r="B53" i="2"/>
  <c r="B53" i="3" s="1"/>
  <c r="B54" i="2"/>
  <c r="B54" i="3" s="1"/>
  <c r="B55" i="2"/>
  <c r="B55" i="3" s="1"/>
  <c r="B56" i="2"/>
  <c r="B56" i="3" s="1"/>
  <c r="B57" i="2"/>
  <c r="B57" i="3" s="1"/>
  <c r="B58" i="2"/>
  <c r="B58" i="3" s="1"/>
  <c r="B59" i="2"/>
  <c r="B59" i="3" s="1"/>
  <c r="B60" i="2"/>
  <c r="B60" i="3" s="1"/>
  <c r="B61" i="2"/>
  <c r="B61" i="3" s="1"/>
  <c r="B62" i="2"/>
  <c r="B62" i="3" s="1"/>
  <c r="B63" i="2"/>
  <c r="B63" i="3" s="1"/>
  <c r="B64" i="2"/>
  <c r="B64" i="3" s="1"/>
  <c r="B65" i="2"/>
  <c r="B65" i="3" s="1"/>
  <c r="B66" i="2"/>
  <c r="B66" i="3" s="1"/>
  <c r="B67" i="2"/>
  <c r="B67" i="3" s="1"/>
  <c r="B68" i="2"/>
  <c r="B68" i="3" s="1"/>
  <c r="B69" i="2"/>
  <c r="B69" i="3" s="1"/>
  <c r="B70" i="2"/>
  <c r="B70" i="3" s="1"/>
  <c r="B71" i="2"/>
  <c r="B71" i="3" s="1"/>
  <c r="B72" i="2"/>
  <c r="B72" i="3" s="1"/>
  <c r="B73" i="2"/>
  <c r="B73" i="3" s="1"/>
  <c r="B74" i="2"/>
  <c r="B74" i="3" s="1"/>
  <c r="B75" i="2"/>
  <c r="B75" i="3" s="1"/>
  <c r="B76" i="2"/>
  <c r="B76" i="3" s="1"/>
  <c r="B77" i="2"/>
  <c r="B77" i="3" s="1"/>
  <c r="B78" i="2"/>
  <c r="B78" i="3" s="1"/>
  <c r="B79" i="2"/>
  <c r="B79" i="3" s="1"/>
  <c r="B80" i="2"/>
  <c r="B80" i="3" s="1"/>
  <c r="B81" i="2"/>
  <c r="B81" i="3" s="1"/>
  <c r="B82" i="2"/>
  <c r="B82" i="3" s="1"/>
  <c r="B83" i="2"/>
  <c r="B83" i="3" s="1"/>
  <c r="B84" i="2"/>
  <c r="B84" i="3" s="1"/>
  <c r="B85" i="2"/>
  <c r="B85" i="3" s="1"/>
  <c r="B86" i="2"/>
  <c r="B86" i="3" s="1"/>
  <c r="B87" i="2"/>
  <c r="B87" i="3" s="1"/>
  <c r="B88" i="2"/>
  <c r="B88" i="3" s="1"/>
  <c r="B89" i="2"/>
  <c r="B89" i="3" s="1"/>
  <c r="B90" i="2"/>
  <c r="B90" i="3" s="1"/>
  <c r="B91" i="2"/>
  <c r="B91" i="3" s="1"/>
  <c r="B92" i="2"/>
  <c r="B92" i="3" s="1"/>
  <c r="B93" i="2"/>
  <c r="B93" i="3" s="1"/>
  <c r="B94" i="2"/>
  <c r="B94" i="3" s="1"/>
  <c r="B95" i="2"/>
  <c r="B95" i="3" s="1"/>
  <c r="B96" i="2"/>
  <c r="B96" i="3" s="1"/>
  <c r="B97" i="2"/>
  <c r="B97" i="3" s="1"/>
  <c r="B98" i="2"/>
  <c r="B98" i="3" s="1"/>
  <c r="B99" i="2"/>
  <c r="B99" i="3" s="1"/>
  <c r="B100" i="2"/>
  <c r="B100" i="3" s="1"/>
  <c r="B101" i="2"/>
  <c r="B101" i="3" s="1"/>
  <c r="B102" i="2"/>
  <c r="B102" i="3" s="1"/>
  <c r="B103" i="2"/>
  <c r="B103" i="3" s="1"/>
  <c r="B104" i="2"/>
  <c r="B104" i="3" s="1"/>
  <c r="B105" i="2"/>
  <c r="B105" i="3" s="1"/>
  <c r="B106" i="2"/>
  <c r="B106" i="3" s="1"/>
  <c r="B107" i="2"/>
  <c r="B107" i="3" s="1"/>
  <c r="B108" i="2"/>
  <c r="B108" i="3" s="1"/>
  <c r="B109" i="2"/>
  <c r="B109" i="3" s="1"/>
  <c r="B110" i="2"/>
  <c r="B110" i="3" s="1"/>
  <c r="B111" i="2"/>
  <c r="B111" i="3" s="1"/>
  <c r="B112" i="2"/>
  <c r="B112" i="3" s="1"/>
  <c r="G112" i="3" s="1"/>
  <c r="B12" i="2"/>
  <c r="B12" i="3" s="1"/>
  <c r="G109" i="3" l="1"/>
  <c r="G60" i="3"/>
  <c r="G12" i="3"/>
  <c r="G111" i="3"/>
  <c r="G110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J3" i="3" l="1"/>
  <c r="J4" i="3" s="1"/>
  <c r="J13" i="3"/>
  <c r="J7" i="3" l="1"/>
  <c r="J6" i="3"/>
  <c r="J12" i="3"/>
  <c r="J14" i="3" l="1"/>
  <c r="J1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<sst xmlns="http://schemas.openxmlformats.org/spreadsheetml/2006/main" count="35" uniqueCount="22">
  <si>
    <t>Theta</t>
  </si>
  <si>
    <t>Item</t>
  </si>
  <si>
    <t>IRT A</t>
  </si>
  <si>
    <t>IRT B</t>
  </si>
  <si>
    <t>IRT C</t>
  </si>
  <si>
    <t>Correct</t>
  </si>
  <si>
    <t>X</t>
  </si>
  <si>
    <t>V</t>
  </si>
  <si>
    <t>W</t>
  </si>
  <si>
    <t>Y</t>
  </si>
  <si>
    <t>Z</t>
  </si>
  <si>
    <t>Product</t>
  </si>
  <si>
    <t>Included</t>
  </si>
  <si>
    <t>Max</t>
  </si>
  <si>
    <t>Theta Score</t>
  </si>
  <si>
    <t>Slope</t>
  </si>
  <si>
    <t>Intercept</t>
  </si>
  <si>
    <t>Scale Score</t>
  </si>
  <si>
    <t>Stderr</t>
  </si>
  <si>
    <t>Scale Stderr</t>
  </si>
  <si>
    <t>Interval Low</t>
  </si>
  <si>
    <t>Interval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</si>
</sst>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.000_);_(* \(#,##0.000\);_(* &quot;-&quot;??_);_(@_)"/>
    <numFmt numFmtId="165" formatCode="0.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/>
    <xf numFmtId="164" fontId="0" fillId="0" borderId="0" xfId="1" applyNumberFormat="1" applyFont="1"/>
    <xf numFmtId="165" fontId="0" fillId="0" borderId="0" xfId="0" applyNumberFormat="1"/>
    <xf numFmtId="165" fontId="0" fillId="0" borderId="0" xfId="1" applyNumberFormat="1" applyFont="1"/>
    <xf numFmtId="1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Items</a:t>
            </a:r>
          </a:p>
        </c:rich>
      </c:tx>
      <c:layout>
        <c:manualLayout>
          <c:xMode val="edge"/>
          <c:yMode val="edge"/>
          <c:x val="0.4490490611750454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82162325863113E-2"/>
          <c:y val="8.8055555555555554E-2"/>
          <c:w val="0.90979170872871662"/>
          <c:h val="0.742482745212403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Curves!$B$1</c:f>
              <c:strCache>
                <c:ptCount val="1"/>
                <c:pt idx="0">
                  <c:v>V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Curves!$A$2:$A$122</c:f>
              <c:numCache>
                <c:formatCode>0.00</c:formatCode>
                <c:ptCount val="121"/>
                <c:pt idx="0">
                  <c:v>-6</c:v>
                </c:pt>
                <c:pt idx="1">
                  <c:v>-5.9</c:v>
                </c:pt>
                <c:pt idx="2">
                  <c:v>-5.8</c:v>
                </c:pt>
                <c:pt idx="3">
                  <c:v>-5.7</c:v>
                </c:pt>
                <c:pt idx="4">
                  <c:v>-5.6</c:v>
                </c:pt>
                <c:pt idx="5">
                  <c:v>-5.5</c:v>
                </c:pt>
                <c:pt idx="6">
                  <c:v>-5.4</c:v>
                </c:pt>
                <c:pt idx="7">
                  <c:v>-5.3</c:v>
                </c:pt>
                <c:pt idx="8">
                  <c:v>-5.2</c:v>
                </c:pt>
                <c:pt idx="9">
                  <c:v>-5.0999999999999996</c:v>
                </c:pt>
                <c:pt idx="10">
                  <c:v>-5</c:v>
                </c:pt>
                <c:pt idx="11">
                  <c:v>-4.9000000000000004</c:v>
                </c:pt>
                <c:pt idx="12">
                  <c:v>-4.8</c:v>
                </c:pt>
                <c:pt idx="13">
                  <c:v>-4.7</c:v>
                </c:pt>
                <c:pt idx="14">
                  <c:v>-4.5999999999999996</c:v>
                </c:pt>
                <c:pt idx="15">
                  <c:v>-4.5</c:v>
                </c:pt>
                <c:pt idx="16">
                  <c:v>-4.4000000000000004</c:v>
                </c:pt>
                <c:pt idx="17">
                  <c:v>-4.3</c:v>
                </c:pt>
                <c:pt idx="18">
                  <c:v>-4.2</c:v>
                </c:pt>
                <c:pt idx="19">
                  <c:v>-4.0999999999999996</c:v>
                </c:pt>
                <c:pt idx="20">
                  <c:v>-4</c:v>
                </c:pt>
                <c:pt idx="21">
                  <c:v>-3.9</c:v>
                </c:pt>
                <c:pt idx="22">
                  <c:v>-3.8</c:v>
                </c:pt>
                <c:pt idx="23">
                  <c:v>-3.7</c:v>
                </c:pt>
                <c:pt idx="24">
                  <c:v>-3.6</c:v>
                </c:pt>
                <c:pt idx="25">
                  <c:v>-3.5000000000000102</c:v>
                </c:pt>
                <c:pt idx="26">
                  <c:v>-3.4000000000000101</c:v>
                </c:pt>
                <c:pt idx="27">
                  <c:v>-3.30000000000001</c:v>
                </c:pt>
                <c:pt idx="28">
                  <c:v>-3.2000000000000099</c:v>
                </c:pt>
                <c:pt idx="29">
                  <c:v>-3.1000000000000099</c:v>
                </c:pt>
                <c:pt idx="30">
                  <c:v>-3.0000000000000102</c:v>
                </c:pt>
                <c:pt idx="31">
                  <c:v>-2.9000000000000101</c:v>
                </c:pt>
                <c:pt idx="32">
                  <c:v>-2.80000000000001</c:v>
                </c:pt>
                <c:pt idx="33">
                  <c:v>-2.7000000000000099</c:v>
                </c:pt>
                <c:pt idx="34">
                  <c:v>-2.6000000000000099</c:v>
                </c:pt>
                <c:pt idx="35">
                  <c:v>-2.5000000000000102</c:v>
                </c:pt>
                <c:pt idx="36">
                  <c:v>-2.4000000000000101</c:v>
                </c:pt>
                <c:pt idx="37">
                  <c:v>-2.30000000000001</c:v>
                </c:pt>
                <c:pt idx="38">
                  <c:v>-2.2000000000000099</c:v>
                </c:pt>
                <c:pt idx="39">
                  <c:v>-2.1000000000000099</c:v>
                </c:pt>
                <c:pt idx="40">
                  <c:v>-2.0000000000000102</c:v>
                </c:pt>
                <c:pt idx="41">
                  <c:v>-1.9000000000000099</c:v>
                </c:pt>
                <c:pt idx="42">
                  <c:v>-1.80000000000001</c:v>
                </c:pt>
                <c:pt idx="43">
                  <c:v>-1.7000000000000099</c:v>
                </c:pt>
                <c:pt idx="44">
                  <c:v>-1.6000000000000101</c:v>
                </c:pt>
                <c:pt idx="45">
                  <c:v>-1.50000000000001</c:v>
                </c:pt>
                <c:pt idx="46">
                  <c:v>-1.4000000000000099</c:v>
                </c:pt>
                <c:pt idx="47">
                  <c:v>-1.30000000000001</c:v>
                </c:pt>
                <c:pt idx="48">
                  <c:v>-1.2000000000000099</c:v>
                </c:pt>
                <c:pt idx="49">
                  <c:v>-1.1000000000000101</c:v>
                </c:pt>
                <c:pt idx="50">
                  <c:v>-1.00000000000001</c:v>
                </c:pt>
                <c:pt idx="51">
                  <c:v>-0.90000000000001001</c:v>
                </c:pt>
                <c:pt idx="52">
                  <c:v>-0.80000000000001004</c:v>
                </c:pt>
                <c:pt idx="53">
                  <c:v>-0.70000000000002005</c:v>
                </c:pt>
                <c:pt idx="54">
                  <c:v>-0.60000000000001996</c:v>
                </c:pt>
                <c:pt idx="55">
                  <c:v>-0.50000000000001998</c:v>
                </c:pt>
                <c:pt idx="56">
                  <c:v>-0.40000000000002001</c:v>
                </c:pt>
                <c:pt idx="57">
                  <c:v>-0.30000000000001997</c:v>
                </c:pt>
                <c:pt idx="58">
                  <c:v>-0.20000000000002</c:v>
                </c:pt>
                <c:pt idx="59">
                  <c:v>-0.10000000000002</c:v>
                </c:pt>
                <c:pt idx="60">
                  <c:v>-2.0428103653102899E-14</c:v>
                </c:pt>
                <c:pt idx="61">
                  <c:v>9.9999999999980105E-2</c:v>
                </c:pt>
                <c:pt idx="62">
                  <c:v>0.19999999999998</c:v>
                </c:pt>
                <c:pt idx="63">
                  <c:v>0.29999999999998</c:v>
                </c:pt>
                <c:pt idx="64">
                  <c:v>0.39999999999997998</c:v>
                </c:pt>
                <c:pt idx="65">
                  <c:v>0.49999999999998002</c:v>
                </c:pt>
                <c:pt idx="66">
                  <c:v>0.59999999999997999</c:v>
                </c:pt>
                <c:pt idx="67">
                  <c:v>0.69999999999997997</c:v>
                </c:pt>
                <c:pt idx="68">
                  <c:v>0.79999999999997995</c:v>
                </c:pt>
                <c:pt idx="69">
                  <c:v>0.89999999999998004</c:v>
                </c:pt>
                <c:pt idx="70">
                  <c:v>0.99999999999998002</c:v>
                </c:pt>
                <c:pt idx="71">
                  <c:v>1.0999999999999801</c:v>
                </c:pt>
                <c:pt idx="72">
                  <c:v>1.19999999999998</c:v>
                </c:pt>
                <c:pt idx="73">
                  <c:v>1.2999999999999801</c:v>
                </c:pt>
                <c:pt idx="74">
                  <c:v>1.3999999999999799</c:v>
                </c:pt>
                <c:pt idx="75">
                  <c:v>1.49999999999998</c:v>
                </c:pt>
                <c:pt idx="76">
                  <c:v>1.5999999999999801</c:v>
                </c:pt>
                <c:pt idx="77">
                  <c:v>1.69999999999998</c:v>
                </c:pt>
                <c:pt idx="78">
                  <c:v>1.7999999999999801</c:v>
                </c:pt>
                <c:pt idx="79">
                  <c:v>1.8999999999999799</c:v>
                </c:pt>
                <c:pt idx="80">
                  <c:v>1.99999999999998</c:v>
                </c:pt>
                <c:pt idx="81">
                  <c:v>2.0999999999999699</c:v>
                </c:pt>
                <c:pt idx="82">
                  <c:v>2.19999999999997</c:v>
                </c:pt>
                <c:pt idx="83">
                  <c:v>2.2999999999999701</c:v>
                </c:pt>
                <c:pt idx="84">
                  <c:v>2.3999999999999702</c:v>
                </c:pt>
                <c:pt idx="85">
                  <c:v>2.4999999999999698</c:v>
                </c:pt>
                <c:pt idx="86">
                  <c:v>2.5999999999999699</c:v>
                </c:pt>
                <c:pt idx="87">
                  <c:v>2.69999999999997</c:v>
                </c:pt>
                <c:pt idx="88">
                  <c:v>2.7999999999999701</c:v>
                </c:pt>
                <c:pt idx="89">
                  <c:v>2.8999999999999702</c:v>
                </c:pt>
                <c:pt idx="90">
                  <c:v>2.9999999999999698</c:v>
                </c:pt>
                <c:pt idx="91">
                  <c:v>3.0999999999999699</c:v>
                </c:pt>
                <c:pt idx="92">
                  <c:v>3.19999999999997</c:v>
                </c:pt>
                <c:pt idx="93">
                  <c:v>3.2999999999999701</c:v>
                </c:pt>
                <c:pt idx="94">
                  <c:v>3.3999999999999702</c:v>
                </c:pt>
                <c:pt idx="95">
                  <c:v>3.4999999999999698</c:v>
                </c:pt>
                <c:pt idx="96">
                  <c:v>3.5999999999999699</c:v>
                </c:pt>
                <c:pt idx="97">
                  <c:v>3.69999999999997</c:v>
                </c:pt>
                <c:pt idx="98">
                  <c:v>3.7999999999999701</c:v>
                </c:pt>
                <c:pt idx="99">
                  <c:v>3.8999999999999702</c:v>
                </c:pt>
                <c:pt idx="100">
                  <c:v>3.9999999999999698</c:v>
                </c:pt>
                <c:pt idx="101">
                  <c:v>4.0999999999999703</c:v>
                </c:pt>
                <c:pt idx="102">
                  <c:v>4.19999999999997</c:v>
                </c:pt>
                <c:pt idx="103">
                  <c:v>4.2999999999999696</c:v>
                </c:pt>
                <c:pt idx="104">
                  <c:v>4.3999999999999702</c:v>
                </c:pt>
                <c:pt idx="105">
                  <c:v>4.4999999999999698</c:v>
                </c:pt>
                <c:pt idx="106">
                  <c:v>4.5999999999999703</c:v>
                </c:pt>
                <c:pt idx="107">
                  <c:v>4.69999999999997</c:v>
                </c:pt>
                <c:pt idx="108">
                  <c:v>4.7999999999999696</c:v>
                </c:pt>
                <c:pt idx="109">
                  <c:v>4.8999999999999604</c:v>
                </c:pt>
                <c:pt idx="110">
                  <c:v>4.99999999999996</c:v>
                </c:pt>
                <c:pt idx="111">
                  <c:v>5.0999999999999597</c:v>
                </c:pt>
                <c:pt idx="112">
                  <c:v>5.1999999999999602</c:v>
                </c:pt>
                <c:pt idx="113">
                  <c:v>5.2999999999999599</c:v>
                </c:pt>
                <c:pt idx="114">
                  <c:v>5.3999999999999604</c:v>
                </c:pt>
                <c:pt idx="115">
                  <c:v>5.49999999999996</c:v>
                </c:pt>
                <c:pt idx="116">
                  <c:v>5.5999999999999597</c:v>
                </c:pt>
                <c:pt idx="117">
                  <c:v>5.6999999999999602</c:v>
                </c:pt>
                <c:pt idx="118">
                  <c:v>5.7999999999999599</c:v>
                </c:pt>
                <c:pt idx="119">
                  <c:v>5.8999999999999604</c:v>
                </c:pt>
                <c:pt idx="120">
                  <c:v>5.99999999999996</c:v>
                </c:pt>
              </c:numCache>
            </c:numRef>
          </c:xVal>
          <c:yVal>
            <c:numRef>
              <c:f>Curves!$B$2:$B$122</c:f>
              <c:numCache>
                <c:formatCode>General</c:formatCode>
                <c:ptCount val="121"/>
                <c:pt idx="0">
                  <c:v>9.3877078713804876E-4</c:v>
                </c:pt>
                <c:pt idx="1">
                  <c:v>1.1125360328603216E-3</c:v>
                </c:pt>
                <c:pt idx="2">
                  <c:v>1.3184225532339462E-3</c:v>
                </c:pt>
                <c:pt idx="3">
                  <c:v>1.5623509503289617E-3</c:v>
                </c:pt>
                <c:pt idx="4">
                  <c:v>1.851326181206039E-3</c:v>
                </c:pt>
                <c:pt idx="5">
                  <c:v>2.1936333567087458E-3</c:v>
                </c:pt>
                <c:pt idx="6">
                  <c:v>2.5990677623233469E-3</c:v>
                </c:pt>
                <c:pt idx="7">
                  <c:v>3.0792046214773005E-3</c:v>
                </c:pt>
                <c:pt idx="8">
                  <c:v>3.6477148207749248E-3</c:v>
                </c:pt>
                <c:pt idx="9">
                  <c:v>4.3207335199119202E-3</c:v>
                </c:pt>
                <c:pt idx="10">
                  <c:v>5.1172892300414873E-3</c:v>
                </c:pt>
                <c:pt idx="11">
                  <c:v>6.0598014915841103E-3</c:v>
                </c:pt>
                <c:pt idx="12">
                  <c:v>7.174655609074738E-3</c:v>
                </c:pt>
                <c:pt idx="13">
                  <c:v>8.4928628516443457E-3</c:v>
                </c:pt>
                <c:pt idx="14">
                  <c:v>1.0050813883473756E-2</c:v>
                </c:pt>
                <c:pt idx="15">
                  <c:v>1.1891131644386993E-2</c:v>
                </c:pt>
                <c:pt idx="16">
                  <c:v>1.4063627043245463E-2</c:v>
                </c:pt>
                <c:pt idx="17">
                  <c:v>1.6626356107881622E-2</c:v>
                </c:pt>
                <c:pt idx="18">
                  <c:v>1.9646769947688696E-2</c:v>
                </c:pt>
                <c:pt idx="19">
                  <c:v>2.3202938145644097E-2</c:v>
                </c:pt>
                <c:pt idx="20">
                  <c:v>2.7384810950125685E-2</c:v>
                </c:pt>
                <c:pt idx="21">
                  <c:v>3.2295464698450516E-2</c:v>
                </c:pt>
                <c:pt idx="22">
                  <c:v>3.8052247070992105E-2</c:v>
                </c:pt>
                <c:pt idx="23">
                  <c:v>4.4787703049786715E-2</c:v>
                </c:pt>
                <c:pt idx="24">
                  <c:v>5.2650118435302901E-2</c:v>
                </c:pt>
                <c:pt idx="25">
                  <c:v>6.180346626358757E-2</c:v>
                </c:pt>
                <c:pt idx="26">
                  <c:v>7.2426485361516565E-2</c:v>
                </c:pt>
                <c:pt idx="27">
                  <c:v>8.4710565730734461E-2</c:v>
                </c:pt>
                <c:pt idx="28">
                  <c:v>9.8856073178167872E-2</c:v>
                </c:pt>
                <c:pt idx="29">
                  <c:v>0.11506673204554808</c:v>
                </c:pt>
                <c:pt idx="30">
                  <c:v>0.13354172253321045</c:v>
                </c:pt>
                <c:pt idx="31">
                  <c:v>0.15446526508353245</c:v>
                </c:pt>
                <c:pt idx="32">
                  <c:v>0.17799368578624397</c:v>
                </c:pt>
                <c:pt idx="33">
                  <c:v>0.20424030228408901</c:v>
                </c:pt>
                <c:pt idx="34">
                  <c:v>0.23325893577145421</c:v>
                </c:pt>
                <c:pt idx="35">
                  <c:v>0.26502740053347779</c:v>
                </c:pt>
                <c:pt idx="36">
                  <c:v>0.29943285752602339</c:v>
                </c:pt>
                <c:pt idx="37">
                  <c:v>0.33626130259564352</c:v>
                </c:pt>
                <c:pt idx="38">
                  <c:v>0.37519352553156676</c:v>
                </c:pt>
                <c:pt idx="39">
                  <c:v>0.41580947706458854</c:v>
                </c:pt>
                <c:pt idx="40">
                  <c:v>0.45760205922564468</c:v>
                </c:pt>
                <c:pt idx="41">
                  <c:v>0.49999999999999578</c:v>
                </c:pt>
                <c:pt idx="42">
                  <c:v>0.54239794077434667</c:v>
                </c:pt>
                <c:pt idx="43">
                  <c:v>0.58419052293540319</c:v>
                </c:pt>
                <c:pt idx="44">
                  <c:v>0.62480647446842519</c:v>
                </c:pt>
                <c:pt idx="45">
                  <c:v>0.66373869740434888</c:v>
                </c:pt>
                <c:pt idx="46">
                  <c:v>0.70056714247396934</c:v>
                </c:pt>
                <c:pt idx="47">
                  <c:v>0.73497259946651539</c:v>
                </c:pt>
                <c:pt idx="48">
                  <c:v>0.76674106422853971</c:v>
                </c:pt>
                <c:pt idx="49">
                  <c:v>0.79575969771590549</c:v>
                </c:pt>
                <c:pt idx="50">
                  <c:v>0.82200631421375092</c:v>
                </c:pt>
                <c:pt idx="51">
                  <c:v>0.84553473491646303</c:v>
                </c:pt>
                <c:pt idx="52">
                  <c:v>0.86645827746678561</c:v>
                </c:pt>
                <c:pt idx="53">
                  <c:v>0.88493326795444671</c:v>
                </c:pt>
                <c:pt idx="54">
                  <c:v>0.90114392682182753</c:v>
                </c:pt>
                <c:pt idx="55">
                  <c:v>0.91528943426926168</c:v>
                </c:pt>
                <c:pt idx="56">
                  <c:v>0.92757351463847992</c:v>
                </c:pt>
                <c:pt idx="57">
                  <c:v>0.93819653373640932</c:v>
                </c:pt>
                <c:pt idx="58">
                  <c:v>0.94734988156469546</c:v>
                </c:pt>
                <c:pt idx="59">
                  <c:v>0.9552122969502117</c:v>
                </c:pt>
                <c:pt idx="60">
                  <c:v>0.96194775292900647</c:v>
                </c:pt>
                <c:pt idx="61">
                  <c:v>0.96770453530154832</c:v>
                </c:pt>
                <c:pt idx="62">
                  <c:v>0.97261518904987343</c:v>
                </c:pt>
                <c:pt idx="63">
                  <c:v>0.97679706185435522</c:v>
                </c:pt>
                <c:pt idx="64">
                  <c:v>0.98035323005231068</c:v>
                </c:pt>
                <c:pt idx="65">
                  <c:v>0.98337364389211768</c:v>
                </c:pt>
                <c:pt idx="66">
                  <c:v>0.98593637295675407</c:v>
                </c:pt>
                <c:pt idx="67">
                  <c:v>0.98810886835561262</c:v>
                </c:pt>
                <c:pt idx="68">
                  <c:v>0.98994918611652594</c:v>
                </c:pt>
                <c:pt idx="69">
                  <c:v>0.99150713714835537</c:v>
                </c:pt>
                <c:pt idx="70">
                  <c:v>0.99282534439092496</c:v>
                </c:pt>
                <c:pt idx="71">
                  <c:v>0.99394019850841553</c:v>
                </c:pt>
                <c:pt idx="72">
                  <c:v>0.99488271076995838</c:v>
                </c:pt>
                <c:pt idx="73">
                  <c:v>0.99567926648008787</c:v>
                </c:pt>
                <c:pt idx="74">
                  <c:v>0.99635228517922503</c:v>
                </c:pt>
                <c:pt idx="75">
                  <c:v>0.99692079537852263</c:v>
                </c:pt>
                <c:pt idx="76">
                  <c:v>0.99740093223767656</c:v>
                </c:pt>
                <c:pt idx="77">
                  <c:v>0.99780636664329125</c:v>
                </c:pt>
                <c:pt idx="78">
                  <c:v>0.99814867381879402</c:v>
                </c:pt>
                <c:pt idx="79">
                  <c:v>0.99843764904967103</c:v>
                </c:pt>
                <c:pt idx="80">
                  <c:v>0.99868157744676611</c:v>
                </c:pt>
                <c:pt idx="81">
                  <c:v>0.99888746396713957</c:v>
                </c:pt>
                <c:pt idx="82">
                  <c:v>0.999061229212862</c:v>
                </c:pt>
                <c:pt idx="83">
                  <c:v>0.99920787586160476</c:v>
                </c:pt>
                <c:pt idx="84">
                  <c:v>0.99933162996520453</c:v>
                </c:pt>
                <c:pt idx="85">
                  <c:v>0.99943606079130776</c:v>
                </c:pt>
                <c:pt idx="86">
                  <c:v>0.99952418238116159</c:v>
                </c:pt>
                <c:pt idx="87">
                  <c:v>0.99959853955241718</c:v>
                </c:pt>
                <c:pt idx="88">
                  <c:v>0.99966128068628479</c:v>
                </c:pt>
                <c:pt idx="89">
                  <c:v>0.99971421929915805</c:v>
                </c:pt>
                <c:pt idx="90">
                  <c:v>0.99975888610505259</c:v>
                </c:pt>
                <c:pt idx="91">
                  <c:v>0.9997965730219448</c:v>
                </c:pt>
                <c:pt idx="92">
                  <c:v>0.99982837035756622</c:v>
                </c:pt>
                <c:pt idx="93">
                  <c:v>0.99985519822390823</c:v>
                </c:pt>
                <c:pt idx="94">
                  <c:v>0.9998778330705631</c:v>
                </c:pt>
                <c:pt idx="95">
                  <c:v>0.9998969300913515</c:v>
                </c:pt>
                <c:pt idx="96">
                  <c:v>0.99991304214323196</c:v>
                </c:pt>
                <c:pt idx="97">
                  <c:v>0.99992663571836227</c:v>
                </c:pt>
                <c:pt idx="98">
                  <c:v>0.99993810442688125</c:v>
                </c:pt>
                <c:pt idx="99">
                  <c:v>0.99994778037735566</c:v>
                </c:pt>
                <c:pt idx="100">
                  <c:v>0.99995594378197439</c:v>
                </c:pt>
                <c:pt idx="101">
                  <c:v>0.99996283106289707</c:v>
                </c:pt>
                <c:pt idx="102">
                  <c:v>0.9999686416932787</c:v>
                </c:pt>
                <c:pt idx="103">
                  <c:v>0.99997354397021299</c:v>
                </c:pt>
                <c:pt idx="104">
                  <c:v>0.9999776798861657</c:v>
                </c:pt>
                <c:pt idx="105">
                  <c:v>0.99998116923954716</c:v>
                </c:pt>
                <c:pt idx="106">
                  <c:v>0.99998411310316671</c:v>
                </c:pt>
                <c:pt idx="107">
                  <c:v>0.99998659675080737</c:v>
                </c:pt>
                <c:pt idx="108">
                  <c:v>0.99998869212653374</c:v>
                </c:pt>
                <c:pt idx="109">
                  <c:v>0.99999045992814084</c:v>
                </c:pt>
                <c:pt idx="110">
                  <c:v>0.99999195136502039</c:v>
                </c:pt>
                <c:pt idx="111">
                  <c:v>0.99999320964130201</c:v>
                </c:pt>
                <c:pt idx="112">
                  <c:v>0.99999427120719298</c:v>
                </c:pt>
                <c:pt idx="113">
                  <c:v>0.99999516681473821</c:v>
                </c:pt>
                <c:pt idx="114">
                  <c:v>0.99999592240856161</c:v>
                </c:pt>
                <c:pt idx="115">
                  <c:v>0.99999655987737412</c:v>
                </c:pt>
                <c:pt idx="116">
                  <c:v>0.99999709768801481</c:v>
                </c:pt>
                <c:pt idx="117">
                  <c:v>0.99999755142038016</c:v>
                </c:pt>
                <c:pt idx="118">
                  <c:v>0.99999793421873351</c:v>
                </c:pt>
                <c:pt idx="119">
                  <c:v>0.99999825717246382</c:v>
                </c:pt>
                <c:pt idx="120">
                  <c:v>0.99999852963732561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DA-49B2-9DA5-A6760F7EB719}"/>
            </c:ext>
          </c:extLst>
        </c:ser>
        <c:ser>
          <c:idx val="1"/>
          <c:order val="1"/>
          <c:tx>
            <c:strRef>
              <c:f>Curves!$C$1</c:f>
              <c:strCache>
                <c:ptCount val="1"/>
                <c:pt idx="0">
                  <c:v>W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Curves!$A$2:$A$122</c:f>
              <c:numCache>
                <c:formatCode>0.00</c:formatCode>
                <c:ptCount val="121"/>
                <c:pt idx="0">
                  <c:v>-6</c:v>
                </c:pt>
                <c:pt idx="1">
                  <c:v>-5.9</c:v>
                </c:pt>
                <c:pt idx="2">
                  <c:v>-5.8</c:v>
                </c:pt>
                <c:pt idx="3">
                  <c:v>-5.7</c:v>
                </c:pt>
                <c:pt idx="4">
                  <c:v>-5.6</c:v>
                </c:pt>
                <c:pt idx="5">
                  <c:v>-5.5</c:v>
                </c:pt>
                <c:pt idx="6">
                  <c:v>-5.4</c:v>
                </c:pt>
                <c:pt idx="7">
                  <c:v>-5.3</c:v>
                </c:pt>
                <c:pt idx="8">
                  <c:v>-5.2</c:v>
                </c:pt>
                <c:pt idx="9">
                  <c:v>-5.0999999999999996</c:v>
                </c:pt>
                <c:pt idx="10">
                  <c:v>-5</c:v>
                </c:pt>
                <c:pt idx="11">
                  <c:v>-4.9000000000000004</c:v>
                </c:pt>
                <c:pt idx="12">
                  <c:v>-4.8</c:v>
                </c:pt>
                <c:pt idx="13">
                  <c:v>-4.7</c:v>
                </c:pt>
                <c:pt idx="14">
                  <c:v>-4.5999999999999996</c:v>
                </c:pt>
                <c:pt idx="15">
                  <c:v>-4.5</c:v>
                </c:pt>
                <c:pt idx="16">
                  <c:v>-4.4000000000000004</c:v>
                </c:pt>
                <c:pt idx="17">
                  <c:v>-4.3</c:v>
                </c:pt>
                <c:pt idx="18">
                  <c:v>-4.2</c:v>
                </c:pt>
                <c:pt idx="19">
                  <c:v>-4.0999999999999996</c:v>
                </c:pt>
                <c:pt idx="20">
                  <c:v>-4</c:v>
                </c:pt>
                <c:pt idx="21">
                  <c:v>-3.9</c:v>
                </c:pt>
                <c:pt idx="22">
                  <c:v>-3.8</c:v>
                </c:pt>
                <c:pt idx="23">
                  <c:v>-3.7</c:v>
                </c:pt>
                <c:pt idx="24">
                  <c:v>-3.6</c:v>
                </c:pt>
                <c:pt idx="25">
                  <c:v>-3.5000000000000102</c:v>
                </c:pt>
                <c:pt idx="26">
                  <c:v>-3.4000000000000101</c:v>
                </c:pt>
                <c:pt idx="27">
                  <c:v>-3.30000000000001</c:v>
                </c:pt>
                <c:pt idx="28">
                  <c:v>-3.2000000000000099</c:v>
                </c:pt>
                <c:pt idx="29">
                  <c:v>-3.1000000000000099</c:v>
                </c:pt>
                <c:pt idx="30">
                  <c:v>-3.0000000000000102</c:v>
                </c:pt>
                <c:pt idx="31">
                  <c:v>-2.9000000000000101</c:v>
                </c:pt>
                <c:pt idx="32">
                  <c:v>-2.80000000000001</c:v>
                </c:pt>
                <c:pt idx="33">
                  <c:v>-2.7000000000000099</c:v>
                </c:pt>
                <c:pt idx="34">
                  <c:v>-2.6000000000000099</c:v>
                </c:pt>
                <c:pt idx="35">
                  <c:v>-2.5000000000000102</c:v>
                </c:pt>
                <c:pt idx="36">
                  <c:v>-2.4000000000000101</c:v>
                </c:pt>
                <c:pt idx="37">
                  <c:v>-2.30000000000001</c:v>
                </c:pt>
                <c:pt idx="38">
                  <c:v>-2.2000000000000099</c:v>
                </c:pt>
                <c:pt idx="39">
                  <c:v>-2.1000000000000099</c:v>
                </c:pt>
                <c:pt idx="40">
                  <c:v>-2.0000000000000102</c:v>
                </c:pt>
                <c:pt idx="41">
                  <c:v>-1.9000000000000099</c:v>
                </c:pt>
                <c:pt idx="42">
                  <c:v>-1.80000000000001</c:v>
                </c:pt>
                <c:pt idx="43">
                  <c:v>-1.7000000000000099</c:v>
                </c:pt>
                <c:pt idx="44">
                  <c:v>-1.6000000000000101</c:v>
                </c:pt>
                <c:pt idx="45">
                  <c:v>-1.50000000000001</c:v>
                </c:pt>
                <c:pt idx="46">
                  <c:v>-1.4000000000000099</c:v>
                </c:pt>
                <c:pt idx="47">
                  <c:v>-1.30000000000001</c:v>
                </c:pt>
                <c:pt idx="48">
                  <c:v>-1.2000000000000099</c:v>
                </c:pt>
                <c:pt idx="49">
                  <c:v>-1.1000000000000101</c:v>
                </c:pt>
                <c:pt idx="50">
                  <c:v>-1.00000000000001</c:v>
                </c:pt>
                <c:pt idx="51">
                  <c:v>-0.90000000000001001</c:v>
                </c:pt>
                <c:pt idx="52">
                  <c:v>-0.80000000000001004</c:v>
                </c:pt>
                <c:pt idx="53">
                  <c:v>-0.70000000000002005</c:v>
                </c:pt>
                <c:pt idx="54">
                  <c:v>-0.60000000000001996</c:v>
                </c:pt>
                <c:pt idx="55">
                  <c:v>-0.50000000000001998</c:v>
                </c:pt>
                <c:pt idx="56">
                  <c:v>-0.40000000000002001</c:v>
                </c:pt>
                <c:pt idx="57">
                  <c:v>-0.30000000000001997</c:v>
                </c:pt>
                <c:pt idx="58">
                  <c:v>-0.20000000000002</c:v>
                </c:pt>
                <c:pt idx="59">
                  <c:v>-0.10000000000002</c:v>
                </c:pt>
                <c:pt idx="60">
                  <c:v>-2.0428103653102899E-14</c:v>
                </c:pt>
                <c:pt idx="61">
                  <c:v>9.9999999999980105E-2</c:v>
                </c:pt>
                <c:pt idx="62">
                  <c:v>0.19999999999998</c:v>
                </c:pt>
                <c:pt idx="63">
                  <c:v>0.29999999999998</c:v>
                </c:pt>
                <c:pt idx="64">
                  <c:v>0.39999999999997998</c:v>
                </c:pt>
                <c:pt idx="65">
                  <c:v>0.49999999999998002</c:v>
                </c:pt>
                <c:pt idx="66">
                  <c:v>0.59999999999997999</c:v>
                </c:pt>
                <c:pt idx="67">
                  <c:v>0.69999999999997997</c:v>
                </c:pt>
                <c:pt idx="68">
                  <c:v>0.79999999999997995</c:v>
                </c:pt>
                <c:pt idx="69">
                  <c:v>0.89999999999998004</c:v>
                </c:pt>
                <c:pt idx="70">
                  <c:v>0.99999999999998002</c:v>
                </c:pt>
                <c:pt idx="71">
                  <c:v>1.0999999999999801</c:v>
                </c:pt>
                <c:pt idx="72">
                  <c:v>1.19999999999998</c:v>
                </c:pt>
                <c:pt idx="73">
                  <c:v>1.2999999999999801</c:v>
                </c:pt>
                <c:pt idx="74">
                  <c:v>1.3999999999999799</c:v>
                </c:pt>
                <c:pt idx="75">
                  <c:v>1.49999999999998</c:v>
                </c:pt>
                <c:pt idx="76">
                  <c:v>1.5999999999999801</c:v>
                </c:pt>
                <c:pt idx="77">
                  <c:v>1.69999999999998</c:v>
                </c:pt>
                <c:pt idx="78">
                  <c:v>1.7999999999999801</c:v>
                </c:pt>
                <c:pt idx="79">
                  <c:v>1.8999999999999799</c:v>
                </c:pt>
                <c:pt idx="80">
                  <c:v>1.99999999999998</c:v>
                </c:pt>
                <c:pt idx="81">
                  <c:v>2.0999999999999699</c:v>
                </c:pt>
                <c:pt idx="82">
                  <c:v>2.19999999999997</c:v>
                </c:pt>
                <c:pt idx="83">
                  <c:v>2.2999999999999701</c:v>
                </c:pt>
                <c:pt idx="84">
                  <c:v>2.3999999999999702</c:v>
                </c:pt>
                <c:pt idx="85">
                  <c:v>2.4999999999999698</c:v>
                </c:pt>
                <c:pt idx="86">
                  <c:v>2.5999999999999699</c:v>
                </c:pt>
                <c:pt idx="87">
                  <c:v>2.69999999999997</c:v>
                </c:pt>
                <c:pt idx="88">
                  <c:v>2.7999999999999701</c:v>
                </c:pt>
                <c:pt idx="89">
                  <c:v>2.8999999999999702</c:v>
                </c:pt>
                <c:pt idx="90">
                  <c:v>2.9999999999999698</c:v>
                </c:pt>
                <c:pt idx="91">
                  <c:v>3.0999999999999699</c:v>
                </c:pt>
                <c:pt idx="92">
                  <c:v>3.19999999999997</c:v>
                </c:pt>
                <c:pt idx="93">
                  <c:v>3.2999999999999701</c:v>
                </c:pt>
                <c:pt idx="94">
                  <c:v>3.3999999999999702</c:v>
                </c:pt>
                <c:pt idx="95">
                  <c:v>3.4999999999999698</c:v>
                </c:pt>
                <c:pt idx="96">
                  <c:v>3.5999999999999699</c:v>
                </c:pt>
                <c:pt idx="97">
                  <c:v>3.69999999999997</c:v>
                </c:pt>
                <c:pt idx="98">
                  <c:v>3.7999999999999701</c:v>
                </c:pt>
                <c:pt idx="99">
                  <c:v>3.8999999999999702</c:v>
                </c:pt>
                <c:pt idx="100">
                  <c:v>3.9999999999999698</c:v>
                </c:pt>
                <c:pt idx="101">
                  <c:v>4.0999999999999703</c:v>
                </c:pt>
                <c:pt idx="102">
                  <c:v>4.19999999999997</c:v>
                </c:pt>
                <c:pt idx="103">
                  <c:v>4.2999999999999696</c:v>
                </c:pt>
                <c:pt idx="104">
                  <c:v>4.3999999999999702</c:v>
                </c:pt>
                <c:pt idx="105">
                  <c:v>4.4999999999999698</c:v>
                </c:pt>
                <c:pt idx="106">
                  <c:v>4.5999999999999703</c:v>
                </c:pt>
                <c:pt idx="107">
                  <c:v>4.69999999999997</c:v>
                </c:pt>
                <c:pt idx="108">
                  <c:v>4.7999999999999696</c:v>
                </c:pt>
                <c:pt idx="109">
                  <c:v>4.8999999999999604</c:v>
                </c:pt>
                <c:pt idx="110">
                  <c:v>4.99999999999996</c:v>
                </c:pt>
                <c:pt idx="111">
                  <c:v>5.0999999999999597</c:v>
                </c:pt>
                <c:pt idx="112">
                  <c:v>5.1999999999999602</c:v>
                </c:pt>
                <c:pt idx="113">
                  <c:v>5.2999999999999599</c:v>
                </c:pt>
                <c:pt idx="114">
                  <c:v>5.3999999999999604</c:v>
                </c:pt>
                <c:pt idx="115">
                  <c:v>5.49999999999996</c:v>
                </c:pt>
                <c:pt idx="116">
                  <c:v>5.5999999999999597</c:v>
                </c:pt>
                <c:pt idx="117">
                  <c:v>5.6999999999999602</c:v>
                </c:pt>
                <c:pt idx="118">
                  <c:v>5.7999999999999599</c:v>
                </c:pt>
                <c:pt idx="119">
                  <c:v>5.8999999999999604</c:v>
                </c:pt>
                <c:pt idx="120">
                  <c:v>5.99999999999996</c:v>
                </c:pt>
              </c:numCache>
            </c:numRef>
          </c:xVal>
          <c:yVal>
            <c:numRef>
              <c:f>Curves!$C$2:$C$122</c:f>
              <c:numCache>
                <c:formatCode>General</c:formatCode>
                <c:ptCount val="121"/>
                <c:pt idx="0">
                  <c:v>0.20615270070520667</c:v>
                </c:pt>
                <c:pt idx="1">
                  <c:v>0.20672725445277038</c:v>
                </c:pt>
                <c:pt idx="2">
                  <c:v>0.20735496429383049</c:v>
                </c:pt>
                <c:pt idx="3">
                  <c:v>0.208040651106779</c:v>
                </c:pt>
                <c:pt idx="4">
                  <c:v>0.20878955410447456</c:v>
                </c:pt>
                <c:pt idx="5">
                  <c:v>0.20960736344794192</c:v>
                </c:pt>
                <c:pt idx="6">
                  <c:v>0.21050025466968225</c:v>
                </c:pt>
                <c:pt idx="7">
                  <c:v>0.21147492485079047</c:v>
                </c:pt>
                <c:pt idx="8">
                  <c:v>0.21253863045283886</c:v>
                </c:pt>
                <c:pt idx="9">
                  <c:v>0.2136992266525822</c:v>
                </c:pt>
                <c:pt idx="10">
                  <c:v>0.2149652079634837</c:v>
                </c:pt>
                <c:pt idx="11">
                  <c:v>0.21634574985124241</c:v>
                </c:pt>
                <c:pt idx="12">
                  <c:v>0.21785075095922579</c:v>
                </c:pt>
                <c:pt idx="13">
                  <c:v>0.21949087545222229</c:v>
                </c:pt>
                <c:pt idx="14">
                  <c:v>0.2212775948614927</c:v>
                </c:pt>
                <c:pt idx="15">
                  <c:v>0.22322322866907263</c:v>
                </c:pt>
                <c:pt idx="16">
                  <c:v>0.22534098270324512</c:v>
                </c:pt>
                <c:pt idx="17">
                  <c:v>0.22764498422902124</c:v>
                </c:pt>
                <c:pt idx="18">
                  <c:v>0.23015031240688474</c:v>
                </c:pt>
                <c:pt idx="19">
                  <c:v>0.23287302256037204</c:v>
                </c:pt>
                <c:pt idx="20">
                  <c:v>0.2358301624398294</c:v>
                </c:pt>
                <c:pt idx="21">
                  <c:v>0.23903977839904</c:v>
                </c:pt>
                <c:pt idx="22">
                  <c:v>0.24252090911845098</c:v>
                </c:pt>
                <c:pt idx="23">
                  <c:v>0.24629356422108883</c:v>
                </c:pt>
                <c:pt idx="24">
                  <c:v>0.25037868484559722</c:v>
                </c:pt>
                <c:pt idx="25">
                  <c:v>0.25479808297946044</c:v>
                </c:pt>
                <c:pt idx="26">
                  <c:v>0.25957435613282198</c:v>
                </c:pt>
                <c:pt idx="27">
                  <c:v>0.26473077377237175</c:v>
                </c:pt>
                <c:pt idx="28">
                  <c:v>0.27029113186344045</c:v>
                </c:pt>
                <c:pt idx="29">
                  <c:v>0.27627957191928698</c:v>
                </c:pt>
                <c:pt idx="30">
                  <c:v>0.28272036116659904</c:v>
                </c:pt>
                <c:pt idx="31">
                  <c:v>0.28963763084559158</c:v>
                </c:pt>
                <c:pt idx="32">
                  <c:v>0.29705507031338874</c:v>
                </c:pt>
                <c:pt idx="33">
                  <c:v>0.30499557555081785</c:v>
                </c:pt>
                <c:pt idx="34">
                  <c:v>0.31348085192038938</c:v>
                </c:pt>
                <c:pt idx="35">
                  <c:v>0.32253097261206803</c:v>
                </c:pt>
                <c:pt idx="36">
                  <c:v>0.3321638961524907</c:v>
                </c:pt>
                <c:pt idx="37">
                  <c:v>0.34239494862899617</c:v>
                </c:pt>
                <c:pt idx="38">
                  <c:v>0.35323627884917291</c:v>
                </c:pt>
                <c:pt idx="39">
                  <c:v>0.36469629744075671</c:v>
                </c:pt>
                <c:pt idx="40">
                  <c:v>0.37677911377614903</c:v>
                </c:pt>
                <c:pt idx="41">
                  <c:v>0.38948398741851437</c:v>
                </c:pt>
                <c:pt idx="42">
                  <c:v>0.40280481332986895</c:v>
                </c:pt>
                <c:pt idx="43">
                  <c:v>0.4167296621205534</c:v>
                </c:pt>
                <c:pt idx="44">
                  <c:v>0.43124039789999535</c:v>
                </c:pt>
                <c:pt idx="45">
                  <c:v>0.44631239655856797</c:v>
                </c:pt>
                <c:pt idx="46">
                  <c:v>0.46191438634579007</c:v>
                </c:pt>
                <c:pt idx="47">
                  <c:v>0.47800843024580281</c:v>
                </c:pt>
                <c:pt idx="48">
                  <c:v>0.49455006581111705</c:v>
                </c:pt>
                <c:pt idx="49">
                  <c:v>0.51148861284062075</c:v>
                </c:pt>
                <c:pt idx="50">
                  <c:v>0.52876765275306625</c:v>
                </c:pt>
                <c:pt idx="51">
                  <c:v>0.54632567602763471</c:v>
                </c:pt>
                <c:pt idx="52">
                  <c:v>0.56409688610113418</c:v>
                </c:pt>
                <c:pt idx="53">
                  <c:v>0.58201214016655634</c:v>
                </c:pt>
                <c:pt idx="54">
                  <c:v>0.59999999999999654</c:v>
                </c:pt>
                <c:pt idx="55">
                  <c:v>0.61798785983343651</c:v>
                </c:pt>
                <c:pt idx="56">
                  <c:v>0.63590311389886045</c:v>
                </c:pt>
                <c:pt idx="57">
                  <c:v>0.65367432397235992</c:v>
                </c:pt>
                <c:pt idx="58">
                  <c:v>0.6712323472469286</c:v>
                </c:pt>
                <c:pt idx="59">
                  <c:v>0.68851138715937421</c:v>
                </c:pt>
                <c:pt idx="60">
                  <c:v>0.70544993418887803</c:v>
                </c:pt>
                <c:pt idx="61">
                  <c:v>0.72199156975419232</c:v>
                </c:pt>
                <c:pt idx="62">
                  <c:v>0.73808561365420533</c:v>
                </c:pt>
                <c:pt idx="63">
                  <c:v>0.75368760344142749</c:v>
                </c:pt>
                <c:pt idx="64">
                  <c:v>0.76875960210000027</c:v>
                </c:pt>
                <c:pt idx="65">
                  <c:v>0.78327033787944234</c:v>
                </c:pt>
                <c:pt idx="66">
                  <c:v>0.79719518667012701</c:v>
                </c:pt>
                <c:pt idx="67">
                  <c:v>0.81051601258148187</c:v>
                </c:pt>
                <c:pt idx="68">
                  <c:v>0.82322088622384726</c:v>
                </c:pt>
                <c:pt idx="69">
                  <c:v>0.8353037025592398</c:v>
                </c:pt>
                <c:pt idx="70">
                  <c:v>0.84676372115082388</c:v>
                </c:pt>
                <c:pt idx="71">
                  <c:v>0.85760505137100074</c:v>
                </c:pt>
                <c:pt idx="72">
                  <c:v>0.86783610384750642</c:v>
                </c:pt>
                <c:pt idx="73">
                  <c:v>0.87746902738792931</c:v>
                </c:pt>
                <c:pt idx="74">
                  <c:v>0.88651914807960797</c:v>
                </c:pt>
                <c:pt idx="75">
                  <c:v>0.89500442444917971</c:v>
                </c:pt>
                <c:pt idx="76">
                  <c:v>0.90294492968660922</c:v>
                </c:pt>
                <c:pt idx="77">
                  <c:v>0.91036236915440627</c:v>
                </c:pt>
                <c:pt idx="78">
                  <c:v>0.91727963883339902</c:v>
                </c:pt>
                <c:pt idx="79">
                  <c:v>0.9237204280807112</c:v>
                </c:pt>
                <c:pt idx="80">
                  <c:v>0.92970886813655795</c:v>
                </c:pt>
                <c:pt idx="81">
                  <c:v>0.93526922622762632</c:v>
                </c:pt>
                <c:pt idx="82">
                  <c:v>0.94042564386717609</c:v>
                </c:pt>
                <c:pt idx="83">
                  <c:v>0.94520191702053791</c:v>
                </c:pt>
                <c:pt idx="84">
                  <c:v>0.94962131515440174</c:v>
                </c:pt>
                <c:pt idx="85">
                  <c:v>0.95370643577891001</c:v>
                </c:pt>
                <c:pt idx="86">
                  <c:v>0.95747909088154803</c:v>
                </c:pt>
                <c:pt idx="87">
                  <c:v>0.96096022160095917</c:v>
                </c:pt>
                <c:pt idx="88">
                  <c:v>0.96416983756016972</c:v>
                </c:pt>
                <c:pt idx="89">
                  <c:v>0.96712697743962717</c:v>
                </c:pt>
                <c:pt idx="90">
                  <c:v>0.96984968759311463</c:v>
                </c:pt>
                <c:pt idx="91">
                  <c:v>0.97235501577097816</c:v>
                </c:pt>
                <c:pt idx="92">
                  <c:v>0.97465901729675442</c:v>
                </c:pt>
                <c:pt idx="93">
                  <c:v>0.97677677133092677</c:v>
                </c:pt>
                <c:pt idx="94">
                  <c:v>0.97872240513850683</c:v>
                </c:pt>
                <c:pt idx="95">
                  <c:v>0.98050912454777728</c:v>
                </c:pt>
                <c:pt idx="96">
                  <c:v>0.98214924904077394</c:v>
                </c:pt>
                <c:pt idx="97">
                  <c:v>0.98365425014875707</c:v>
                </c:pt>
                <c:pt idx="98">
                  <c:v>0.98503479203651589</c:v>
                </c:pt>
                <c:pt idx="99">
                  <c:v>0.98630077334741761</c:v>
                </c:pt>
                <c:pt idx="100">
                  <c:v>0.98746136954716079</c:v>
                </c:pt>
                <c:pt idx="101">
                  <c:v>0.98852507514920918</c:v>
                </c:pt>
                <c:pt idx="102">
                  <c:v>0.98949974533031759</c:v>
                </c:pt>
                <c:pt idx="103">
                  <c:v>0.99039263655205789</c:v>
                </c:pt>
                <c:pt idx="104">
                  <c:v>0.99121044589552509</c:v>
                </c:pt>
                <c:pt idx="105">
                  <c:v>0.99195934889322079</c:v>
                </c:pt>
                <c:pt idx="106">
                  <c:v>0.99264503570616935</c:v>
                </c:pt>
                <c:pt idx="107">
                  <c:v>0.99327274554722944</c:v>
                </c:pt>
                <c:pt idx="108">
                  <c:v>0.99384729929479332</c:v>
                </c:pt>
                <c:pt idx="109">
                  <c:v>0.99437313027600371</c:v>
                </c:pt>
                <c:pt idx="110">
                  <c:v>0.99485431322646489</c:v>
                </c:pt>
                <c:pt idx="111">
                  <c:v>0.99529459145526267</c:v>
                </c:pt>
                <c:pt idx="112">
                  <c:v>0.99569740226092107</c:v>
                </c:pt>
                <c:pt idx="113">
                  <c:v>0.99606590065651157</c:v>
                </c:pt>
                <c:pt idx="114">
                  <c:v>0.99640298147124695</c:v>
                </c:pt>
                <c:pt idx="115">
                  <c:v>0.99671129990213547</c:v>
                </c:pt>
                <c:pt idx="116">
                  <c:v>0.9969932905931993</c:v>
                </c:pt>
                <c:pt idx="117">
                  <c:v>0.99725118532179691</c:v>
                </c:pt>
                <c:pt idx="118">
                  <c:v>0.99748702937213629</c:v>
                </c:pt>
                <c:pt idx="119">
                  <c:v>0.99770269667543965</c:v>
                </c:pt>
                <c:pt idx="120">
                  <c:v>0.99789990379467164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DA-49B2-9DA5-A6760F7EB719}"/>
            </c:ext>
          </c:extLst>
        </c:ser>
        <c:ser>
          <c:idx val="2"/>
          <c:order val="2"/>
          <c:tx>
            <c:strRef>
              <c:f>Curves!$D$1</c:f>
              <c:strCache>
                <c:ptCount val="1"/>
                <c:pt idx="0">
                  <c:v>X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Curves!$A$2:$A$122</c:f>
              <c:numCache>
                <c:formatCode>0.00</c:formatCode>
                <c:ptCount val="121"/>
                <c:pt idx="0">
                  <c:v>-6</c:v>
                </c:pt>
                <c:pt idx="1">
                  <c:v>-5.9</c:v>
                </c:pt>
                <c:pt idx="2">
                  <c:v>-5.8</c:v>
                </c:pt>
                <c:pt idx="3">
                  <c:v>-5.7</c:v>
                </c:pt>
                <c:pt idx="4">
                  <c:v>-5.6</c:v>
                </c:pt>
                <c:pt idx="5">
                  <c:v>-5.5</c:v>
                </c:pt>
                <c:pt idx="6">
                  <c:v>-5.4</c:v>
                </c:pt>
                <c:pt idx="7">
                  <c:v>-5.3</c:v>
                </c:pt>
                <c:pt idx="8">
                  <c:v>-5.2</c:v>
                </c:pt>
                <c:pt idx="9">
                  <c:v>-5.0999999999999996</c:v>
                </c:pt>
                <c:pt idx="10">
                  <c:v>-5</c:v>
                </c:pt>
                <c:pt idx="11">
                  <c:v>-4.9000000000000004</c:v>
                </c:pt>
                <c:pt idx="12">
                  <c:v>-4.8</c:v>
                </c:pt>
                <c:pt idx="13">
                  <c:v>-4.7</c:v>
                </c:pt>
                <c:pt idx="14">
                  <c:v>-4.5999999999999996</c:v>
                </c:pt>
                <c:pt idx="15">
                  <c:v>-4.5</c:v>
                </c:pt>
                <c:pt idx="16">
                  <c:v>-4.4000000000000004</c:v>
                </c:pt>
                <c:pt idx="17">
                  <c:v>-4.3</c:v>
                </c:pt>
                <c:pt idx="18">
                  <c:v>-4.2</c:v>
                </c:pt>
                <c:pt idx="19">
                  <c:v>-4.0999999999999996</c:v>
                </c:pt>
                <c:pt idx="20">
                  <c:v>-4</c:v>
                </c:pt>
                <c:pt idx="21">
                  <c:v>-3.9</c:v>
                </c:pt>
                <c:pt idx="22">
                  <c:v>-3.8</c:v>
                </c:pt>
                <c:pt idx="23">
                  <c:v>-3.7</c:v>
                </c:pt>
                <c:pt idx="24">
                  <c:v>-3.6</c:v>
                </c:pt>
                <c:pt idx="25">
                  <c:v>-3.5000000000000102</c:v>
                </c:pt>
                <c:pt idx="26">
                  <c:v>-3.4000000000000101</c:v>
                </c:pt>
                <c:pt idx="27">
                  <c:v>-3.30000000000001</c:v>
                </c:pt>
                <c:pt idx="28">
                  <c:v>-3.2000000000000099</c:v>
                </c:pt>
                <c:pt idx="29">
                  <c:v>-3.1000000000000099</c:v>
                </c:pt>
                <c:pt idx="30">
                  <c:v>-3.0000000000000102</c:v>
                </c:pt>
                <c:pt idx="31">
                  <c:v>-2.9000000000000101</c:v>
                </c:pt>
                <c:pt idx="32">
                  <c:v>-2.80000000000001</c:v>
                </c:pt>
                <c:pt idx="33">
                  <c:v>-2.7000000000000099</c:v>
                </c:pt>
                <c:pt idx="34">
                  <c:v>-2.6000000000000099</c:v>
                </c:pt>
                <c:pt idx="35">
                  <c:v>-2.5000000000000102</c:v>
                </c:pt>
                <c:pt idx="36">
                  <c:v>-2.4000000000000101</c:v>
                </c:pt>
                <c:pt idx="37">
                  <c:v>-2.30000000000001</c:v>
                </c:pt>
                <c:pt idx="38">
                  <c:v>-2.2000000000000099</c:v>
                </c:pt>
                <c:pt idx="39">
                  <c:v>-2.1000000000000099</c:v>
                </c:pt>
                <c:pt idx="40">
                  <c:v>-2.0000000000000102</c:v>
                </c:pt>
                <c:pt idx="41">
                  <c:v>-1.9000000000000099</c:v>
                </c:pt>
                <c:pt idx="42">
                  <c:v>-1.80000000000001</c:v>
                </c:pt>
                <c:pt idx="43">
                  <c:v>-1.7000000000000099</c:v>
                </c:pt>
                <c:pt idx="44">
                  <c:v>-1.6000000000000101</c:v>
                </c:pt>
                <c:pt idx="45">
                  <c:v>-1.50000000000001</c:v>
                </c:pt>
                <c:pt idx="46">
                  <c:v>-1.4000000000000099</c:v>
                </c:pt>
                <c:pt idx="47">
                  <c:v>-1.30000000000001</c:v>
                </c:pt>
                <c:pt idx="48">
                  <c:v>-1.2000000000000099</c:v>
                </c:pt>
                <c:pt idx="49">
                  <c:v>-1.1000000000000101</c:v>
                </c:pt>
                <c:pt idx="50">
                  <c:v>-1.00000000000001</c:v>
                </c:pt>
                <c:pt idx="51">
                  <c:v>-0.90000000000001001</c:v>
                </c:pt>
                <c:pt idx="52">
                  <c:v>-0.80000000000001004</c:v>
                </c:pt>
                <c:pt idx="53">
                  <c:v>-0.70000000000002005</c:v>
                </c:pt>
                <c:pt idx="54">
                  <c:v>-0.60000000000001996</c:v>
                </c:pt>
                <c:pt idx="55">
                  <c:v>-0.50000000000001998</c:v>
                </c:pt>
                <c:pt idx="56">
                  <c:v>-0.40000000000002001</c:v>
                </c:pt>
                <c:pt idx="57">
                  <c:v>-0.30000000000001997</c:v>
                </c:pt>
                <c:pt idx="58">
                  <c:v>-0.20000000000002</c:v>
                </c:pt>
                <c:pt idx="59">
                  <c:v>-0.10000000000002</c:v>
                </c:pt>
                <c:pt idx="60">
                  <c:v>-2.0428103653102899E-14</c:v>
                </c:pt>
                <c:pt idx="61">
                  <c:v>9.9999999999980105E-2</c:v>
                </c:pt>
                <c:pt idx="62">
                  <c:v>0.19999999999998</c:v>
                </c:pt>
                <c:pt idx="63">
                  <c:v>0.29999999999998</c:v>
                </c:pt>
                <c:pt idx="64">
                  <c:v>0.39999999999997998</c:v>
                </c:pt>
                <c:pt idx="65">
                  <c:v>0.49999999999998002</c:v>
                </c:pt>
                <c:pt idx="66">
                  <c:v>0.59999999999997999</c:v>
                </c:pt>
                <c:pt idx="67">
                  <c:v>0.69999999999997997</c:v>
                </c:pt>
                <c:pt idx="68">
                  <c:v>0.79999999999997995</c:v>
                </c:pt>
                <c:pt idx="69">
                  <c:v>0.89999999999998004</c:v>
                </c:pt>
                <c:pt idx="70">
                  <c:v>0.99999999999998002</c:v>
                </c:pt>
                <c:pt idx="71">
                  <c:v>1.0999999999999801</c:v>
                </c:pt>
                <c:pt idx="72">
                  <c:v>1.19999999999998</c:v>
                </c:pt>
                <c:pt idx="73">
                  <c:v>1.2999999999999801</c:v>
                </c:pt>
                <c:pt idx="74">
                  <c:v>1.3999999999999799</c:v>
                </c:pt>
                <c:pt idx="75">
                  <c:v>1.49999999999998</c:v>
                </c:pt>
                <c:pt idx="76">
                  <c:v>1.5999999999999801</c:v>
                </c:pt>
                <c:pt idx="77">
                  <c:v>1.69999999999998</c:v>
                </c:pt>
                <c:pt idx="78">
                  <c:v>1.7999999999999801</c:v>
                </c:pt>
                <c:pt idx="79">
                  <c:v>1.8999999999999799</c:v>
                </c:pt>
                <c:pt idx="80">
                  <c:v>1.99999999999998</c:v>
                </c:pt>
                <c:pt idx="81">
                  <c:v>2.0999999999999699</c:v>
                </c:pt>
                <c:pt idx="82">
                  <c:v>2.19999999999997</c:v>
                </c:pt>
                <c:pt idx="83">
                  <c:v>2.2999999999999701</c:v>
                </c:pt>
                <c:pt idx="84">
                  <c:v>2.3999999999999702</c:v>
                </c:pt>
                <c:pt idx="85">
                  <c:v>2.4999999999999698</c:v>
                </c:pt>
                <c:pt idx="86">
                  <c:v>2.5999999999999699</c:v>
                </c:pt>
                <c:pt idx="87">
                  <c:v>2.69999999999997</c:v>
                </c:pt>
                <c:pt idx="88">
                  <c:v>2.7999999999999701</c:v>
                </c:pt>
                <c:pt idx="89">
                  <c:v>2.8999999999999702</c:v>
                </c:pt>
                <c:pt idx="90">
                  <c:v>2.9999999999999698</c:v>
                </c:pt>
                <c:pt idx="91">
                  <c:v>3.0999999999999699</c:v>
                </c:pt>
                <c:pt idx="92">
                  <c:v>3.19999999999997</c:v>
                </c:pt>
                <c:pt idx="93">
                  <c:v>3.2999999999999701</c:v>
                </c:pt>
                <c:pt idx="94">
                  <c:v>3.3999999999999702</c:v>
                </c:pt>
                <c:pt idx="95">
                  <c:v>3.4999999999999698</c:v>
                </c:pt>
                <c:pt idx="96">
                  <c:v>3.5999999999999699</c:v>
                </c:pt>
                <c:pt idx="97">
                  <c:v>3.69999999999997</c:v>
                </c:pt>
                <c:pt idx="98">
                  <c:v>3.7999999999999701</c:v>
                </c:pt>
                <c:pt idx="99">
                  <c:v>3.8999999999999702</c:v>
                </c:pt>
                <c:pt idx="100">
                  <c:v>3.9999999999999698</c:v>
                </c:pt>
                <c:pt idx="101">
                  <c:v>4.0999999999999703</c:v>
                </c:pt>
                <c:pt idx="102">
                  <c:v>4.19999999999997</c:v>
                </c:pt>
                <c:pt idx="103">
                  <c:v>4.2999999999999696</c:v>
                </c:pt>
                <c:pt idx="104">
                  <c:v>4.3999999999999702</c:v>
                </c:pt>
                <c:pt idx="105">
                  <c:v>4.4999999999999698</c:v>
                </c:pt>
                <c:pt idx="106">
                  <c:v>4.5999999999999703</c:v>
                </c:pt>
                <c:pt idx="107">
                  <c:v>4.69999999999997</c:v>
                </c:pt>
                <c:pt idx="108">
                  <c:v>4.7999999999999696</c:v>
                </c:pt>
                <c:pt idx="109">
                  <c:v>4.8999999999999604</c:v>
                </c:pt>
                <c:pt idx="110">
                  <c:v>4.99999999999996</c:v>
                </c:pt>
                <c:pt idx="111">
                  <c:v>5.0999999999999597</c:v>
                </c:pt>
                <c:pt idx="112">
                  <c:v>5.1999999999999602</c:v>
                </c:pt>
                <c:pt idx="113">
                  <c:v>5.2999999999999599</c:v>
                </c:pt>
                <c:pt idx="114">
                  <c:v>5.3999999999999604</c:v>
                </c:pt>
                <c:pt idx="115">
                  <c:v>5.49999999999996</c:v>
                </c:pt>
                <c:pt idx="116">
                  <c:v>5.5999999999999597</c:v>
                </c:pt>
                <c:pt idx="117">
                  <c:v>5.6999999999999602</c:v>
                </c:pt>
                <c:pt idx="118">
                  <c:v>5.7999999999999599</c:v>
                </c:pt>
                <c:pt idx="119">
                  <c:v>5.8999999999999604</c:v>
                </c:pt>
                <c:pt idx="120">
                  <c:v>5.99999999999996</c:v>
                </c:pt>
              </c:numCache>
            </c:numRef>
          </c:xVal>
          <c:yVal>
            <c:numRef>
              <c:f>Curves!$D$2:$D$122</c:f>
              <c:numCache>
                <c:formatCode>General</c:formatCode>
                <c:ptCount val="121"/>
                <c:pt idx="0">
                  <c:v>0.10001835917855194</c:v>
                </c:pt>
                <c:pt idx="1">
                  <c:v>0.10002197983890894</c:v>
                </c:pt>
                <c:pt idx="2">
                  <c:v>0.10002631451803783</c:v>
                </c:pt>
                <c:pt idx="3">
                  <c:v>0.1000315040162351</c:v>
                </c:pt>
                <c:pt idx="4">
                  <c:v>0.10003771689486662</c:v>
                </c:pt>
                <c:pt idx="5">
                  <c:v>0.10004515494821539</c:v>
                </c:pt>
                <c:pt idx="6">
                  <c:v>0.1000540597531227</c:v>
                </c:pt>
                <c:pt idx="7">
                  <c:v>0.10006472050839665</c:v>
                </c:pt>
                <c:pt idx="8">
                  <c:v>0.10007748341751481</c:v>
                </c:pt>
                <c:pt idx="9">
                  <c:v>0.10009276291778371</c:v>
                </c:pt>
                <c:pt idx="10">
                  <c:v>0.10011105511838761</c:v>
                </c:pt>
                <c:pt idx="11">
                  <c:v>0.10013295388049101</c:v>
                </c:pt>
                <c:pt idx="12">
                  <c:v>0.10015917005692002</c:v>
                </c:pt>
                <c:pt idx="13">
                  <c:v>0.10019055450948322</c:v>
                </c:pt>
                <c:pt idx="14">
                  <c:v>0.10022812564169481</c:v>
                </c:pt>
                <c:pt idx="15">
                  <c:v>0.10027310232702603</c:v>
                </c:pt>
                <c:pt idx="16">
                  <c:v>0.10032694328189627</c:v>
                </c:pt>
                <c:pt idx="17">
                  <c:v>0.10039139413310889</c:v>
                </c:pt>
                <c:pt idx="18">
                  <c:v>0.10046854366669986</c:v>
                </c:pt>
                <c:pt idx="19">
                  <c:v>0.10056089102525921</c:v>
                </c:pt>
                <c:pt idx="20">
                  <c:v>0.10067142595045303</c:v>
                </c:pt>
                <c:pt idx="21">
                  <c:v>0.10080372455406836</c:v>
                </c:pt>
                <c:pt idx="22">
                  <c:v>0.10096206355219778</c:v>
                </c:pt>
                <c:pt idx="23">
                  <c:v>0.10115155642101671</c:v>
                </c:pt>
                <c:pt idx="24">
                  <c:v>0.10137831553630296</c:v>
                </c:pt>
                <c:pt idx="25">
                  <c:v>0.1016496450482435</c:v>
                </c:pt>
                <c:pt idx="26">
                  <c:v>0.10197427002103784</c:v>
                </c:pt>
                <c:pt idx="27">
                  <c:v>0.10236260823099413</c:v>
                </c:pt>
                <c:pt idx="28">
                  <c:v>0.10282709195634644</c:v>
                </c:pt>
                <c:pt idx="29">
                  <c:v>0.10338254808265067</c:v>
                </c:pt>
                <c:pt idx="30">
                  <c:v>0.10404664584484699</c:v>
                </c:pt>
                <c:pt idx="31">
                  <c:v>0.10484042245646366</c:v>
                </c:pt>
                <c:pt idx="32">
                  <c:v>0.10578889762022667</c:v>
                </c:pt>
                <c:pt idx="33">
                  <c:v>0.10692178829335738</c:v>
                </c:pt>
                <c:pt idx="34">
                  <c:v>0.10827433483055915</c:v>
                </c:pt>
                <c:pt idx="35">
                  <c:v>0.10988824836753369</c:v>
                </c:pt>
                <c:pt idx="36">
                  <c:v>0.11181278650339231</c:v>
                </c:pt>
                <c:pt idx="37">
                  <c:v>0.11410595925944346</c:v>
                </c:pt>
                <c:pt idx="38">
                  <c:v>0.11683585895891885</c:v>
                </c:pt>
                <c:pt idx="39">
                  <c:v>0.12008209482912867</c:v>
                </c:pt>
                <c:pt idx="40">
                  <c:v>0.12393729421917885</c:v>
                </c:pt>
                <c:pt idx="41">
                  <c:v>0.12850860554115029</c:v>
                </c:pt>
                <c:pt idx="42">
                  <c:v>0.13391910145774474</c:v>
                </c:pt>
                <c:pt idx="43">
                  <c:v>0.14030893274480738</c:v>
                </c:pt>
                <c:pt idx="44">
                  <c:v>0.14783602275825652</c:v>
                </c:pt>
                <c:pt idx="45">
                  <c:v>0.15667602045129589</c:v>
                </c:pt>
                <c:pt idx="46">
                  <c:v>0.16702115064942419</c:v>
                </c:pt>
                <c:pt idx="47">
                  <c:v>0.17907752334636981</c:v>
                </c:pt>
                <c:pt idx="48">
                  <c:v>0.19306040631242313</c:v>
                </c:pt>
                <c:pt idx="49">
                  <c:v>0.20918695410256144</c:v>
                </c:pt>
                <c:pt idx="50">
                  <c:v>0.22766595841043705</c:v>
                </c:pt>
                <c:pt idx="51">
                  <c:v>0.24868438317155092</c:v>
                </c:pt>
                <c:pt idx="52">
                  <c:v>0.27239081370531826</c:v>
                </c:pt>
                <c:pt idx="53">
                  <c:v>0.29887650299816348</c:v>
                </c:pt>
                <c:pt idx="54">
                  <c:v>0.3281554149960979</c:v>
                </c:pt>
                <c:pt idx="55">
                  <c:v>0.36014544763748979</c:v>
                </c:pt>
                <c:pt idx="56">
                  <c:v>0.39465368463900852</c:v>
                </c:pt>
                <c:pt idx="57">
                  <c:v>0.43136882403750099</c:v>
                </c:pt>
                <c:pt idx="58">
                  <c:v>0.46986360934719362</c:v>
                </c:pt>
                <c:pt idx="59">
                  <c:v>0.50960899686376993</c:v>
                </c:pt>
                <c:pt idx="60">
                  <c:v>0.54999999999999172</c:v>
                </c:pt>
                <c:pt idx="61">
                  <c:v>0.59039100313621407</c:v>
                </c:pt>
                <c:pt idx="62">
                  <c:v>0.6301363906527907</c:v>
                </c:pt>
                <c:pt idx="63">
                  <c:v>0.668631175962484</c:v>
                </c:pt>
                <c:pt idx="64">
                  <c:v>0.70534631536097725</c:v>
                </c:pt>
                <c:pt idx="65">
                  <c:v>0.73985455236249698</c:v>
                </c:pt>
                <c:pt idx="66">
                  <c:v>0.77184458500388986</c:v>
                </c:pt>
                <c:pt idx="67">
                  <c:v>0.8011234970018255</c:v>
                </c:pt>
                <c:pt idx="68">
                  <c:v>0.82760918629467417</c:v>
                </c:pt>
                <c:pt idx="69">
                  <c:v>0.85131561682844237</c:v>
                </c:pt>
                <c:pt idx="70">
                  <c:v>0.87233404158955707</c:v>
                </c:pt>
                <c:pt idx="71">
                  <c:v>0.89081304589743338</c:v>
                </c:pt>
                <c:pt idx="72">
                  <c:v>0.90693959368757249</c:v>
                </c:pt>
                <c:pt idx="73">
                  <c:v>0.92092247665362625</c:v>
                </c:pt>
                <c:pt idx="74">
                  <c:v>0.93297884935057251</c:v>
                </c:pt>
                <c:pt idx="75">
                  <c:v>0.94332397954870129</c:v>
                </c:pt>
                <c:pt idx="76">
                  <c:v>0.95216397724174096</c:v>
                </c:pt>
                <c:pt idx="77">
                  <c:v>0.9596910672551906</c:v>
                </c:pt>
                <c:pt idx="78">
                  <c:v>0.96608089854225343</c:v>
                </c:pt>
                <c:pt idx="79">
                  <c:v>0.97149139445884813</c:v>
                </c:pt>
                <c:pt idx="80">
                  <c:v>0.97606270578081988</c:v>
                </c:pt>
                <c:pt idx="81">
                  <c:v>0.97991790517086996</c:v>
                </c:pt>
                <c:pt idx="82">
                  <c:v>0.98316414104107996</c:v>
                </c:pt>
                <c:pt idx="83">
                  <c:v>0.98589404074055564</c:v>
                </c:pt>
                <c:pt idx="84">
                  <c:v>0.98818721349660688</c:v>
                </c:pt>
                <c:pt idx="85">
                  <c:v>0.99011175163246556</c:v>
                </c:pt>
                <c:pt idx="86">
                  <c:v>0.99172566516944016</c:v>
                </c:pt>
                <c:pt idx="87">
                  <c:v>0.99307821170664212</c:v>
                </c:pt>
                <c:pt idx="88">
                  <c:v>0.99421110237977295</c:v>
                </c:pt>
                <c:pt idx="89">
                  <c:v>0.99515957754353612</c:v>
                </c:pt>
                <c:pt idx="90">
                  <c:v>0.99595335415515274</c:v>
                </c:pt>
                <c:pt idx="91">
                  <c:v>0.99661745191734918</c:v>
                </c:pt>
                <c:pt idx="92">
                  <c:v>0.99717290804365333</c:v>
                </c:pt>
                <c:pt idx="93">
                  <c:v>0.99763739176900568</c:v>
                </c:pt>
                <c:pt idx="94">
                  <c:v>0.99802572997896211</c:v>
                </c:pt>
                <c:pt idx="95">
                  <c:v>0.9983503549517565</c:v>
                </c:pt>
                <c:pt idx="96">
                  <c:v>0.99862168446369692</c:v>
                </c:pt>
                <c:pt idx="97">
                  <c:v>0.99884844357898317</c:v>
                </c:pt>
                <c:pt idx="98">
                  <c:v>0.99903793644780214</c:v>
                </c:pt>
                <c:pt idx="99">
                  <c:v>0.99919627544593159</c:v>
                </c:pt>
                <c:pt idx="100">
                  <c:v>0.999328574049547</c:v>
                </c:pt>
                <c:pt idx="101">
                  <c:v>0.99943910897474075</c:v>
                </c:pt>
                <c:pt idx="102">
                  <c:v>0.99953145633330021</c:v>
                </c:pt>
                <c:pt idx="103">
                  <c:v>0.99960860586689115</c:v>
                </c:pt>
                <c:pt idx="104">
                  <c:v>0.99967305671810369</c:v>
                </c:pt>
                <c:pt idx="105">
                  <c:v>0.99972689767297407</c:v>
                </c:pt>
                <c:pt idx="106">
                  <c:v>0.99977187435830517</c:v>
                </c:pt>
                <c:pt idx="107">
                  <c:v>0.99980944549051687</c:v>
                </c:pt>
                <c:pt idx="108">
                  <c:v>0.9998408299430801</c:v>
                </c:pt>
                <c:pt idx="109">
                  <c:v>0.99986704611950894</c:v>
                </c:pt>
                <c:pt idx="110">
                  <c:v>0.99988894488161228</c:v>
                </c:pt>
                <c:pt idx="111">
                  <c:v>0.99990723708221629</c:v>
                </c:pt>
                <c:pt idx="112">
                  <c:v>0.9999225165824851</c:v>
                </c:pt>
                <c:pt idx="113">
                  <c:v>0.99993527949160343</c:v>
                </c:pt>
                <c:pt idx="114">
                  <c:v>0.99994594024687722</c:v>
                </c:pt>
                <c:pt idx="115">
                  <c:v>0.99995484505178456</c:v>
                </c:pt>
                <c:pt idx="116">
                  <c:v>0.99996228310513335</c:v>
                </c:pt>
                <c:pt idx="117">
                  <c:v>0.99996849598376503</c:v>
                </c:pt>
                <c:pt idx="118">
                  <c:v>0.99997368548196219</c:v>
                </c:pt>
                <c:pt idx="119">
                  <c:v>0.99997802016109116</c:v>
                </c:pt>
                <c:pt idx="120">
                  <c:v>0.99998164082144814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DA-49B2-9DA5-A6760F7EB719}"/>
            </c:ext>
          </c:extLst>
        </c:ser>
        <c:ser>
          <c:idx val="3"/>
          <c:order val="3"/>
          <c:tx>
            <c:strRef>
              <c:f>Curves!$E$1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Curves!$A$2:$A$122</c:f>
              <c:numCache>
                <c:formatCode>0.00</c:formatCode>
                <c:ptCount val="121"/>
                <c:pt idx="0">
                  <c:v>-6</c:v>
                </c:pt>
                <c:pt idx="1">
                  <c:v>-5.9</c:v>
                </c:pt>
                <c:pt idx="2">
                  <c:v>-5.8</c:v>
                </c:pt>
                <c:pt idx="3">
                  <c:v>-5.7</c:v>
                </c:pt>
                <c:pt idx="4">
                  <c:v>-5.6</c:v>
                </c:pt>
                <c:pt idx="5">
                  <c:v>-5.5</c:v>
                </c:pt>
                <c:pt idx="6">
                  <c:v>-5.4</c:v>
                </c:pt>
                <c:pt idx="7">
                  <c:v>-5.3</c:v>
                </c:pt>
                <c:pt idx="8">
                  <c:v>-5.2</c:v>
                </c:pt>
                <c:pt idx="9">
                  <c:v>-5.0999999999999996</c:v>
                </c:pt>
                <c:pt idx="10">
                  <c:v>-5</c:v>
                </c:pt>
                <c:pt idx="11">
                  <c:v>-4.9000000000000004</c:v>
                </c:pt>
                <c:pt idx="12">
                  <c:v>-4.8</c:v>
                </c:pt>
                <c:pt idx="13">
                  <c:v>-4.7</c:v>
                </c:pt>
                <c:pt idx="14">
                  <c:v>-4.5999999999999996</c:v>
                </c:pt>
                <c:pt idx="15">
                  <c:v>-4.5</c:v>
                </c:pt>
                <c:pt idx="16">
                  <c:v>-4.4000000000000004</c:v>
                </c:pt>
                <c:pt idx="17">
                  <c:v>-4.3</c:v>
                </c:pt>
                <c:pt idx="18">
                  <c:v>-4.2</c:v>
                </c:pt>
                <c:pt idx="19">
                  <c:v>-4.0999999999999996</c:v>
                </c:pt>
                <c:pt idx="20">
                  <c:v>-4</c:v>
                </c:pt>
                <c:pt idx="21">
                  <c:v>-3.9</c:v>
                </c:pt>
                <c:pt idx="22">
                  <c:v>-3.8</c:v>
                </c:pt>
                <c:pt idx="23">
                  <c:v>-3.7</c:v>
                </c:pt>
                <c:pt idx="24">
                  <c:v>-3.6</c:v>
                </c:pt>
                <c:pt idx="25">
                  <c:v>-3.5000000000000102</c:v>
                </c:pt>
                <c:pt idx="26">
                  <c:v>-3.4000000000000101</c:v>
                </c:pt>
                <c:pt idx="27">
                  <c:v>-3.30000000000001</c:v>
                </c:pt>
                <c:pt idx="28">
                  <c:v>-3.2000000000000099</c:v>
                </c:pt>
                <c:pt idx="29">
                  <c:v>-3.1000000000000099</c:v>
                </c:pt>
                <c:pt idx="30">
                  <c:v>-3.0000000000000102</c:v>
                </c:pt>
                <c:pt idx="31">
                  <c:v>-2.9000000000000101</c:v>
                </c:pt>
                <c:pt idx="32">
                  <c:v>-2.80000000000001</c:v>
                </c:pt>
                <c:pt idx="33">
                  <c:v>-2.7000000000000099</c:v>
                </c:pt>
                <c:pt idx="34">
                  <c:v>-2.6000000000000099</c:v>
                </c:pt>
                <c:pt idx="35">
                  <c:v>-2.5000000000000102</c:v>
                </c:pt>
                <c:pt idx="36">
                  <c:v>-2.4000000000000101</c:v>
                </c:pt>
                <c:pt idx="37">
                  <c:v>-2.30000000000001</c:v>
                </c:pt>
                <c:pt idx="38">
                  <c:v>-2.2000000000000099</c:v>
                </c:pt>
                <c:pt idx="39">
                  <c:v>-2.1000000000000099</c:v>
                </c:pt>
                <c:pt idx="40">
                  <c:v>-2.0000000000000102</c:v>
                </c:pt>
                <c:pt idx="41">
                  <c:v>-1.9000000000000099</c:v>
                </c:pt>
                <c:pt idx="42">
                  <c:v>-1.80000000000001</c:v>
                </c:pt>
                <c:pt idx="43">
                  <c:v>-1.7000000000000099</c:v>
                </c:pt>
                <c:pt idx="44">
                  <c:v>-1.6000000000000101</c:v>
                </c:pt>
                <c:pt idx="45">
                  <c:v>-1.50000000000001</c:v>
                </c:pt>
                <c:pt idx="46">
                  <c:v>-1.4000000000000099</c:v>
                </c:pt>
                <c:pt idx="47">
                  <c:v>-1.30000000000001</c:v>
                </c:pt>
                <c:pt idx="48">
                  <c:v>-1.2000000000000099</c:v>
                </c:pt>
                <c:pt idx="49">
                  <c:v>-1.1000000000000101</c:v>
                </c:pt>
                <c:pt idx="50">
                  <c:v>-1.00000000000001</c:v>
                </c:pt>
                <c:pt idx="51">
                  <c:v>-0.90000000000001001</c:v>
                </c:pt>
                <c:pt idx="52">
                  <c:v>-0.80000000000001004</c:v>
                </c:pt>
                <c:pt idx="53">
                  <c:v>-0.70000000000002005</c:v>
                </c:pt>
                <c:pt idx="54">
                  <c:v>-0.60000000000001996</c:v>
                </c:pt>
                <c:pt idx="55">
                  <c:v>-0.50000000000001998</c:v>
                </c:pt>
                <c:pt idx="56">
                  <c:v>-0.40000000000002001</c:v>
                </c:pt>
                <c:pt idx="57">
                  <c:v>-0.30000000000001997</c:v>
                </c:pt>
                <c:pt idx="58">
                  <c:v>-0.20000000000002</c:v>
                </c:pt>
                <c:pt idx="59">
                  <c:v>-0.10000000000002</c:v>
                </c:pt>
                <c:pt idx="60">
                  <c:v>-2.0428103653102899E-14</c:v>
                </c:pt>
                <c:pt idx="61">
                  <c:v>9.9999999999980105E-2</c:v>
                </c:pt>
                <c:pt idx="62">
                  <c:v>0.19999999999998</c:v>
                </c:pt>
                <c:pt idx="63">
                  <c:v>0.29999999999998</c:v>
                </c:pt>
                <c:pt idx="64">
                  <c:v>0.39999999999997998</c:v>
                </c:pt>
                <c:pt idx="65">
                  <c:v>0.49999999999998002</c:v>
                </c:pt>
                <c:pt idx="66">
                  <c:v>0.59999999999997999</c:v>
                </c:pt>
                <c:pt idx="67">
                  <c:v>0.69999999999997997</c:v>
                </c:pt>
                <c:pt idx="68">
                  <c:v>0.79999999999997995</c:v>
                </c:pt>
                <c:pt idx="69">
                  <c:v>0.89999999999998004</c:v>
                </c:pt>
                <c:pt idx="70">
                  <c:v>0.99999999999998002</c:v>
                </c:pt>
                <c:pt idx="71">
                  <c:v>1.0999999999999801</c:v>
                </c:pt>
                <c:pt idx="72">
                  <c:v>1.19999999999998</c:v>
                </c:pt>
                <c:pt idx="73">
                  <c:v>1.2999999999999801</c:v>
                </c:pt>
                <c:pt idx="74">
                  <c:v>1.3999999999999799</c:v>
                </c:pt>
                <c:pt idx="75">
                  <c:v>1.49999999999998</c:v>
                </c:pt>
                <c:pt idx="76">
                  <c:v>1.5999999999999801</c:v>
                </c:pt>
                <c:pt idx="77">
                  <c:v>1.69999999999998</c:v>
                </c:pt>
                <c:pt idx="78">
                  <c:v>1.7999999999999801</c:v>
                </c:pt>
                <c:pt idx="79">
                  <c:v>1.8999999999999799</c:v>
                </c:pt>
                <c:pt idx="80">
                  <c:v>1.99999999999998</c:v>
                </c:pt>
                <c:pt idx="81">
                  <c:v>2.0999999999999699</c:v>
                </c:pt>
                <c:pt idx="82">
                  <c:v>2.19999999999997</c:v>
                </c:pt>
                <c:pt idx="83">
                  <c:v>2.2999999999999701</c:v>
                </c:pt>
                <c:pt idx="84">
                  <c:v>2.3999999999999702</c:v>
                </c:pt>
                <c:pt idx="85">
                  <c:v>2.4999999999999698</c:v>
                </c:pt>
                <c:pt idx="86">
                  <c:v>2.5999999999999699</c:v>
                </c:pt>
                <c:pt idx="87">
                  <c:v>2.69999999999997</c:v>
                </c:pt>
                <c:pt idx="88">
                  <c:v>2.7999999999999701</c:v>
                </c:pt>
                <c:pt idx="89">
                  <c:v>2.8999999999999702</c:v>
                </c:pt>
                <c:pt idx="90">
                  <c:v>2.9999999999999698</c:v>
                </c:pt>
                <c:pt idx="91">
                  <c:v>3.0999999999999699</c:v>
                </c:pt>
                <c:pt idx="92">
                  <c:v>3.19999999999997</c:v>
                </c:pt>
                <c:pt idx="93">
                  <c:v>3.2999999999999701</c:v>
                </c:pt>
                <c:pt idx="94">
                  <c:v>3.3999999999999702</c:v>
                </c:pt>
                <c:pt idx="95">
                  <c:v>3.4999999999999698</c:v>
                </c:pt>
                <c:pt idx="96">
                  <c:v>3.5999999999999699</c:v>
                </c:pt>
                <c:pt idx="97">
                  <c:v>3.69999999999997</c:v>
                </c:pt>
                <c:pt idx="98">
                  <c:v>3.7999999999999701</c:v>
                </c:pt>
                <c:pt idx="99">
                  <c:v>3.8999999999999702</c:v>
                </c:pt>
                <c:pt idx="100">
                  <c:v>3.9999999999999698</c:v>
                </c:pt>
                <c:pt idx="101">
                  <c:v>4.0999999999999703</c:v>
                </c:pt>
                <c:pt idx="102">
                  <c:v>4.19999999999997</c:v>
                </c:pt>
                <c:pt idx="103">
                  <c:v>4.2999999999999696</c:v>
                </c:pt>
                <c:pt idx="104">
                  <c:v>4.3999999999999702</c:v>
                </c:pt>
                <c:pt idx="105">
                  <c:v>4.4999999999999698</c:v>
                </c:pt>
                <c:pt idx="106">
                  <c:v>4.5999999999999703</c:v>
                </c:pt>
                <c:pt idx="107">
                  <c:v>4.69999999999997</c:v>
                </c:pt>
                <c:pt idx="108">
                  <c:v>4.7999999999999696</c:v>
                </c:pt>
                <c:pt idx="109">
                  <c:v>4.8999999999999604</c:v>
                </c:pt>
                <c:pt idx="110">
                  <c:v>4.99999999999996</c:v>
                </c:pt>
                <c:pt idx="111">
                  <c:v>5.0999999999999597</c:v>
                </c:pt>
                <c:pt idx="112">
                  <c:v>5.1999999999999602</c:v>
                </c:pt>
                <c:pt idx="113">
                  <c:v>5.2999999999999599</c:v>
                </c:pt>
                <c:pt idx="114">
                  <c:v>5.3999999999999604</c:v>
                </c:pt>
                <c:pt idx="115">
                  <c:v>5.49999999999996</c:v>
                </c:pt>
                <c:pt idx="116">
                  <c:v>5.5999999999999597</c:v>
                </c:pt>
                <c:pt idx="117">
                  <c:v>5.6999999999999602</c:v>
                </c:pt>
                <c:pt idx="118">
                  <c:v>5.7999999999999599</c:v>
                </c:pt>
                <c:pt idx="119">
                  <c:v>5.8999999999999604</c:v>
                </c:pt>
                <c:pt idx="120">
                  <c:v>5.99999999999996</c:v>
                </c:pt>
              </c:numCache>
            </c:numRef>
          </c:xVal>
          <c:yVal>
            <c:numRef>
              <c:f>Curves!$E$2:$E$122</c:f>
              <c:numCache>
                <c:formatCode>General</c:formatCode>
                <c:ptCount val="121"/>
                <c:pt idx="0">
                  <c:v>0.20000081250435162</c:v>
                </c:pt>
                <c:pt idx="1">
                  <c:v>0.2000009923948329</c:v>
                </c:pt>
                <c:pt idx="2">
                  <c:v>0.2000012121134532</c:v>
                </c:pt>
                <c:pt idx="3">
                  <c:v>0.20000148047821831</c:v>
                </c:pt>
                <c:pt idx="4">
                  <c:v>0.20000180825943834</c:v>
                </c:pt>
                <c:pt idx="5">
                  <c:v>0.20000220861196016</c:v>
                </c:pt>
                <c:pt idx="6">
                  <c:v>0.20000269760309097</c:v>
                </c:pt>
                <c:pt idx="7">
                  <c:v>0.20000329485739587</c:v>
                </c:pt>
                <c:pt idx="8">
                  <c:v>0.20000402434424142</c:v>
                </c:pt>
                <c:pt idx="9">
                  <c:v>0.20000491533968179</c:v>
                </c:pt>
                <c:pt idx="10">
                  <c:v>0.20000600360127771</c:v>
                </c:pt>
                <c:pt idx="11">
                  <c:v>0.20000733280297589</c:v>
                </c:pt>
                <c:pt idx="12">
                  <c:v>0.20000895628760409</c:v>
                </c:pt>
                <c:pt idx="13">
                  <c:v>0.2000109392072677</c:v>
                </c:pt>
                <c:pt idx="14">
                  <c:v>0.20001336113747847</c:v>
                </c:pt>
                <c:pt idx="15">
                  <c:v>0.20001631926982394</c:v>
                </c:pt>
                <c:pt idx="16">
                  <c:v>0.20001993231115156</c:v>
                </c:pt>
                <c:pt idx="17">
                  <c:v>0.20002434524552046</c:v>
                </c:pt>
                <c:pt idx="18">
                  <c:v>0.20002973514968234</c:v>
                </c:pt>
                <c:pt idx="19">
                  <c:v>0.20003631829496196</c:v>
                </c:pt>
                <c:pt idx="20">
                  <c:v>0.20004435881977825</c:v>
                </c:pt>
                <c:pt idx="21">
                  <c:v>0.20005417931969582</c:v>
                </c:pt>
                <c:pt idx="22">
                  <c:v>0.20006617377828134</c:v>
                </c:pt>
                <c:pt idx="23">
                  <c:v>0.20008082335512622</c:v>
                </c:pt>
                <c:pt idx="24">
                  <c:v>0.20009871566078899</c:v>
                </c:pt>
                <c:pt idx="25">
                  <c:v>0.20012056828644781</c:v>
                </c:pt>
                <c:pt idx="26">
                  <c:v>0.20014725752397075</c:v>
                </c:pt>
                <c:pt idx="27">
                  <c:v>0.20017985341618663</c:v>
                </c:pt>
                <c:pt idx="28">
                  <c:v>0.20021966252488108</c:v>
                </c:pt>
                <c:pt idx="29">
                  <c:v>0.2002682801043732</c:v>
                </c:pt>
                <c:pt idx="30">
                  <c:v>0.20032765373198885</c:v>
                </c:pt>
                <c:pt idx="31">
                  <c:v>0.20040016088566365</c:v>
                </c:pt>
                <c:pt idx="32">
                  <c:v>0.20048870348754752</c:v>
                </c:pt>
                <c:pt idx="33">
                  <c:v>0.20059682306706936</c:v>
                </c:pt>
                <c:pt idx="34">
                  <c:v>0.20072884095552052</c:v>
                </c:pt>
                <c:pt idx="35">
                  <c:v>0.20089002882628826</c:v>
                </c:pt>
                <c:pt idx="36">
                  <c:v>0.20108681596034317</c:v>
                </c:pt>
                <c:pt idx="37">
                  <c:v>0.20132704086413952</c:v>
                </c:pt>
                <c:pt idx="38">
                  <c:v>0.20162025631123989</c:v>
                </c:pt>
                <c:pt idx="39">
                  <c:v>0.20197809852530779</c:v>
                </c:pt>
                <c:pt idx="40">
                  <c:v>0.2024147330597667</c:v>
                </c:pt>
                <c:pt idx="41">
                  <c:v>0.20294739191954875</c:v>
                </c:pt>
                <c:pt idx="42">
                  <c:v>0.20359701852875289</c:v>
                </c:pt>
                <c:pt idx="43">
                  <c:v>0.20438903911956025</c:v>
                </c:pt>
                <c:pt idx="44">
                  <c:v>0.2053542807394278</c:v>
                </c:pt>
                <c:pt idx="45">
                  <c:v>0.20653005692252779</c:v>
                </c:pt>
                <c:pt idx="46">
                  <c:v>0.2079614414935233</c:v>
                </c:pt>
                <c:pt idx="47">
                  <c:v>0.20970274798741922</c:v>
                </c:pt>
                <c:pt idx="48">
                  <c:v>0.21181922535461822</c:v>
                </c:pt>
                <c:pt idx="49">
                  <c:v>0.21438896796967297</c:v>
                </c:pt>
                <c:pt idx="50">
                  <c:v>0.21750501674890405</c:v>
                </c:pt>
                <c:pt idx="51">
                  <c:v>0.22127759486149229</c:v>
                </c:pt>
                <c:pt idx="52">
                  <c:v>0.22583637175875992</c:v>
                </c:pt>
                <c:pt idx="53">
                  <c:v>0.2313325782374103</c:v>
                </c:pt>
                <c:pt idx="54">
                  <c:v>0.23794069854205199</c:v>
                </c:pt>
                <c:pt idx="55">
                  <c:v>0.24585934071909329</c:v>
                </c:pt>
                <c:pt idx="56">
                  <c:v>0.25531073627467538</c:v>
                </c:pt>
                <c:pt idx="57">
                  <c:v>0.26653815719513546</c:v>
                </c:pt>
                <c:pt idx="58">
                  <c:v>0.27980039129574524</c:v>
                </c:pt>
                <c:pt idx="59">
                  <c:v>0.29536233761769071</c:v>
                </c:pt>
                <c:pt idx="60">
                  <c:v>0.31348085192038627</c:v>
                </c:pt>
                <c:pt idx="61">
                  <c:v>0.33438529189285598</c:v>
                </c:pt>
                <c:pt idx="62">
                  <c:v>0.35825288915312953</c:v>
                </c:pt>
                <c:pt idx="63">
                  <c:v>0.38518017320078024</c:v>
                </c:pt>
                <c:pt idx="64">
                  <c:v>0.41515313709598983</c:v>
                </c:pt>
                <c:pt idx="65">
                  <c:v>0.44802041509790325</c:v>
                </c:pt>
                <c:pt idx="66">
                  <c:v>0.48347495501935633</c:v>
                </c:pt>
                <c:pt idx="67">
                  <c:v>0.52104987191003072</c:v>
                </c:pt>
                <c:pt idx="68">
                  <c:v>0.56013280215000982</c:v>
                </c:pt>
                <c:pt idx="69">
                  <c:v>0.5999999999999921</c:v>
                </c:pt>
                <c:pt idx="70">
                  <c:v>0.63986719784997437</c:v>
                </c:pt>
                <c:pt idx="71">
                  <c:v>0.67895012808995392</c:v>
                </c:pt>
                <c:pt idx="72">
                  <c:v>0.71652504498062908</c:v>
                </c:pt>
                <c:pt idx="73">
                  <c:v>0.75197958490208316</c:v>
                </c:pt>
                <c:pt idx="74">
                  <c:v>0.78484686290399774</c:v>
                </c:pt>
                <c:pt idx="75">
                  <c:v>0.81481982679920839</c:v>
                </c:pt>
                <c:pt idx="76">
                  <c:v>0.84174711084686038</c:v>
                </c:pt>
                <c:pt idx="77">
                  <c:v>0.86561470810713526</c:v>
                </c:pt>
                <c:pt idx="78">
                  <c:v>0.88651914807960597</c:v>
                </c:pt>
                <c:pt idx="79">
                  <c:v>0.9046376623823027</c:v>
                </c:pt>
                <c:pt idx="80">
                  <c:v>0.92019960870424899</c:v>
                </c:pt>
                <c:pt idx="81">
                  <c:v>0.93346184280485844</c:v>
                </c:pt>
                <c:pt idx="82">
                  <c:v>0.94468926372531947</c:v>
                </c:pt>
                <c:pt idx="83">
                  <c:v>0.95414065928090253</c:v>
                </c:pt>
                <c:pt idx="84">
                  <c:v>0.96205930145794438</c:v>
                </c:pt>
                <c:pt idx="85">
                  <c:v>0.9686674217625868</c:v>
                </c:pt>
                <c:pt idx="86">
                  <c:v>0.97416362824123803</c:v>
                </c:pt>
                <c:pt idx="87">
                  <c:v>0.97872240513850617</c:v>
                </c:pt>
                <c:pt idx="88">
                  <c:v>0.98249498325109452</c:v>
                </c:pt>
                <c:pt idx="89">
                  <c:v>0.98561103203032596</c:v>
                </c:pt>
                <c:pt idx="90">
                  <c:v>0.98818077464538101</c:v>
                </c:pt>
                <c:pt idx="91">
                  <c:v>0.99029725201258012</c:v>
                </c:pt>
                <c:pt idx="92">
                  <c:v>0.99203855850647615</c:v>
                </c:pt>
                <c:pt idx="93">
                  <c:v>0.99346994307747183</c:v>
                </c:pt>
                <c:pt idx="94">
                  <c:v>0.99464571926057199</c:v>
                </c:pt>
                <c:pt idx="95">
                  <c:v>0.99561096088043954</c:v>
                </c:pt>
                <c:pt idx="96">
                  <c:v>0.99640298147124695</c:v>
                </c:pt>
                <c:pt idx="97">
                  <c:v>0.99705260808045115</c:v>
                </c:pt>
                <c:pt idx="98">
                  <c:v>0.9975852669402332</c:v>
                </c:pt>
                <c:pt idx="99">
                  <c:v>0.99802190147469205</c:v>
                </c:pt>
                <c:pt idx="100">
                  <c:v>0.99837974368876004</c:v>
                </c:pt>
                <c:pt idx="101">
                  <c:v>0.99867295913586052</c:v>
                </c:pt>
                <c:pt idx="102">
                  <c:v>0.99891318403965679</c:v>
                </c:pt>
                <c:pt idx="103">
                  <c:v>0.9991099711737117</c:v>
                </c:pt>
                <c:pt idx="104">
                  <c:v>0.99927115904447961</c:v>
                </c:pt>
                <c:pt idx="105">
                  <c:v>0.99940317693293057</c:v>
                </c:pt>
                <c:pt idx="106">
                  <c:v>0.99951129651245263</c:v>
                </c:pt>
                <c:pt idx="107">
                  <c:v>0.99959983911433636</c:v>
                </c:pt>
                <c:pt idx="108">
                  <c:v>0.99967234626801127</c:v>
                </c:pt>
                <c:pt idx="109">
                  <c:v>0.99973171989562681</c:v>
                </c:pt>
                <c:pt idx="110">
                  <c:v>0.99978033747511885</c:v>
                </c:pt>
                <c:pt idx="111">
                  <c:v>0.99982014658381346</c:v>
                </c:pt>
                <c:pt idx="112">
                  <c:v>0.99985274247602929</c:v>
                </c:pt>
                <c:pt idx="113">
                  <c:v>0.99987943171355242</c:v>
                </c:pt>
                <c:pt idx="114">
                  <c:v>0.99990128433921099</c:v>
                </c:pt>
                <c:pt idx="115">
                  <c:v>0.99991917664487384</c:v>
                </c:pt>
                <c:pt idx="116">
                  <c:v>0.99993382622171878</c:v>
                </c:pt>
                <c:pt idx="117">
                  <c:v>0.99994582068030424</c:v>
                </c:pt>
                <c:pt idx="118">
                  <c:v>0.99995564118022173</c:v>
                </c:pt>
                <c:pt idx="119">
                  <c:v>0.99996368170503813</c:v>
                </c:pt>
                <c:pt idx="120">
                  <c:v>0.9999702648503177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ADA-49B2-9DA5-A6760F7EB719}"/>
            </c:ext>
          </c:extLst>
        </c:ser>
        <c:ser>
          <c:idx val="4"/>
          <c:order val="4"/>
          <c:tx>
            <c:strRef>
              <c:f>Curves!$F$1</c:f>
              <c:strCache>
                <c:ptCount val="1"/>
                <c:pt idx="0">
                  <c:v>Z</c:v>
                </c:pt>
              </c:strCache>
            </c:strRef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Curves!$A$2:$A$122</c:f>
              <c:numCache>
                <c:formatCode>0.00</c:formatCode>
                <c:ptCount val="121"/>
                <c:pt idx="0">
                  <c:v>-6</c:v>
                </c:pt>
                <c:pt idx="1">
                  <c:v>-5.9</c:v>
                </c:pt>
                <c:pt idx="2">
                  <c:v>-5.8</c:v>
                </c:pt>
                <c:pt idx="3">
                  <c:v>-5.7</c:v>
                </c:pt>
                <c:pt idx="4">
                  <c:v>-5.6</c:v>
                </c:pt>
                <c:pt idx="5">
                  <c:v>-5.5</c:v>
                </c:pt>
                <c:pt idx="6">
                  <c:v>-5.4</c:v>
                </c:pt>
                <c:pt idx="7">
                  <c:v>-5.3</c:v>
                </c:pt>
                <c:pt idx="8">
                  <c:v>-5.2</c:v>
                </c:pt>
                <c:pt idx="9">
                  <c:v>-5.0999999999999996</c:v>
                </c:pt>
                <c:pt idx="10">
                  <c:v>-5</c:v>
                </c:pt>
                <c:pt idx="11">
                  <c:v>-4.9000000000000004</c:v>
                </c:pt>
                <c:pt idx="12">
                  <c:v>-4.8</c:v>
                </c:pt>
                <c:pt idx="13">
                  <c:v>-4.7</c:v>
                </c:pt>
                <c:pt idx="14">
                  <c:v>-4.5999999999999996</c:v>
                </c:pt>
                <c:pt idx="15">
                  <c:v>-4.5</c:v>
                </c:pt>
                <c:pt idx="16">
                  <c:v>-4.4000000000000004</c:v>
                </c:pt>
                <c:pt idx="17">
                  <c:v>-4.3</c:v>
                </c:pt>
                <c:pt idx="18">
                  <c:v>-4.2</c:v>
                </c:pt>
                <c:pt idx="19">
                  <c:v>-4.0999999999999996</c:v>
                </c:pt>
                <c:pt idx="20">
                  <c:v>-4</c:v>
                </c:pt>
                <c:pt idx="21">
                  <c:v>-3.9</c:v>
                </c:pt>
                <c:pt idx="22">
                  <c:v>-3.8</c:v>
                </c:pt>
                <c:pt idx="23">
                  <c:v>-3.7</c:v>
                </c:pt>
                <c:pt idx="24">
                  <c:v>-3.6</c:v>
                </c:pt>
                <c:pt idx="25">
                  <c:v>-3.5000000000000102</c:v>
                </c:pt>
                <c:pt idx="26">
                  <c:v>-3.4000000000000101</c:v>
                </c:pt>
                <c:pt idx="27">
                  <c:v>-3.30000000000001</c:v>
                </c:pt>
                <c:pt idx="28">
                  <c:v>-3.2000000000000099</c:v>
                </c:pt>
                <c:pt idx="29">
                  <c:v>-3.1000000000000099</c:v>
                </c:pt>
                <c:pt idx="30">
                  <c:v>-3.0000000000000102</c:v>
                </c:pt>
                <c:pt idx="31">
                  <c:v>-2.9000000000000101</c:v>
                </c:pt>
                <c:pt idx="32">
                  <c:v>-2.80000000000001</c:v>
                </c:pt>
                <c:pt idx="33">
                  <c:v>-2.7000000000000099</c:v>
                </c:pt>
                <c:pt idx="34">
                  <c:v>-2.6000000000000099</c:v>
                </c:pt>
                <c:pt idx="35">
                  <c:v>-2.5000000000000102</c:v>
                </c:pt>
                <c:pt idx="36">
                  <c:v>-2.4000000000000101</c:v>
                </c:pt>
                <c:pt idx="37">
                  <c:v>-2.30000000000001</c:v>
                </c:pt>
                <c:pt idx="38">
                  <c:v>-2.2000000000000099</c:v>
                </c:pt>
                <c:pt idx="39">
                  <c:v>-2.1000000000000099</c:v>
                </c:pt>
                <c:pt idx="40">
                  <c:v>-2.0000000000000102</c:v>
                </c:pt>
                <c:pt idx="41">
                  <c:v>-1.9000000000000099</c:v>
                </c:pt>
                <c:pt idx="42">
                  <c:v>-1.80000000000001</c:v>
                </c:pt>
                <c:pt idx="43">
                  <c:v>-1.7000000000000099</c:v>
                </c:pt>
                <c:pt idx="44">
                  <c:v>-1.6000000000000101</c:v>
                </c:pt>
                <c:pt idx="45">
                  <c:v>-1.50000000000001</c:v>
                </c:pt>
                <c:pt idx="46">
                  <c:v>-1.4000000000000099</c:v>
                </c:pt>
                <c:pt idx="47">
                  <c:v>-1.30000000000001</c:v>
                </c:pt>
                <c:pt idx="48">
                  <c:v>-1.2000000000000099</c:v>
                </c:pt>
                <c:pt idx="49">
                  <c:v>-1.1000000000000101</c:v>
                </c:pt>
                <c:pt idx="50">
                  <c:v>-1.00000000000001</c:v>
                </c:pt>
                <c:pt idx="51">
                  <c:v>-0.90000000000001001</c:v>
                </c:pt>
                <c:pt idx="52">
                  <c:v>-0.80000000000001004</c:v>
                </c:pt>
                <c:pt idx="53">
                  <c:v>-0.70000000000002005</c:v>
                </c:pt>
                <c:pt idx="54">
                  <c:v>-0.60000000000001996</c:v>
                </c:pt>
                <c:pt idx="55">
                  <c:v>-0.50000000000001998</c:v>
                </c:pt>
                <c:pt idx="56">
                  <c:v>-0.40000000000002001</c:v>
                </c:pt>
                <c:pt idx="57">
                  <c:v>-0.30000000000001997</c:v>
                </c:pt>
                <c:pt idx="58">
                  <c:v>-0.20000000000002</c:v>
                </c:pt>
                <c:pt idx="59">
                  <c:v>-0.10000000000002</c:v>
                </c:pt>
                <c:pt idx="60">
                  <c:v>-2.0428103653102899E-14</c:v>
                </c:pt>
                <c:pt idx="61">
                  <c:v>9.9999999999980105E-2</c:v>
                </c:pt>
                <c:pt idx="62">
                  <c:v>0.19999999999998</c:v>
                </c:pt>
                <c:pt idx="63">
                  <c:v>0.29999999999998</c:v>
                </c:pt>
                <c:pt idx="64">
                  <c:v>0.39999999999997998</c:v>
                </c:pt>
                <c:pt idx="65">
                  <c:v>0.49999999999998002</c:v>
                </c:pt>
                <c:pt idx="66">
                  <c:v>0.59999999999997999</c:v>
                </c:pt>
                <c:pt idx="67">
                  <c:v>0.69999999999997997</c:v>
                </c:pt>
                <c:pt idx="68">
                  <c:v>0.79999999999997995</c:v>
                </c:pt>
                <c:pt idx="69">
                  <c:v>0.89999999999998004</c:v>
                </c:pt>
                <c:pt idx="70">
                  <c:v>0.99999999999998002</c:v>
                </c:pt>
                <c:pt idx="71">
                  <c:v>1.0999999999999801</c:v>
                </c:pt>
                <c:pt idx="72">
                  <c:v>1.19999999999998</c:v>
                </c:pt>
                <c:pt idx="73">
                  <c:v>1.2999999999999801</c:v>
                </c:pt>
                <c:pt idx="74">
                  <c:v>1.3999999999999799</c:v>
                </c:pt>
                <c:pt idx="75">
                  <c:v>1.49999999999998</c:v>
                </c:pt>
                <c:pt idx="76">
                  <c:v>1.5999999999999801</c:v>
                </c:pt>
                <c:pt idx="77">
                  <c:v>1.69999999999998</c:v>
                </c:pt>
                <c:pt idx="78">
                  <c:v>1.7999999999999801</c:v>
                </c:pt>
                <c:pt idx="79">
                  <c:v>1.8999999999999799</c:v>
                </c:pt>
                <c:pt idx="80">
                  <c:v>1.99999999999998</c:v>
                </c:pt>
                <c:pt idx="81">
                  <c:v>2.0999999999999699</c:v>
                </c:pt>
                <c:pt idx="82">
                  <c:v>2.19999999999997</c:v>
                </c:pt>
                <c:pt idx="83">
                  <c:v>2.2999999999999701</c:v>
                </c:pt>
                <c:pt idx="84">
                  <c:v>2.3999999999999702</c:v>
                </c:pt>
                <c:pt idx="85">
                  <c:v>2.4999999999999698</c:v>
                </c:pt>
                <c:pt idx="86">
                  <c:v>2.5999999999999699</c:v>
                </c:pt>
                <c:pt idx="87">
                  <c:v>2.69999999999997</c:v>
                </c:pt>
                <c:pt idx="88">
                  <c:v>2.7999999999999701</c:v>
                </c:pt>
                <c:pt idx="89">
                  <c:v>2.8999999999999702</c:v>
                </c:pt>
                <c:pt idx="90">
                  <c:v>2.9999999999999698</c:v>
                </c:pt>
                <c:pt idx="91">
                  <c:v>3.0999999999999699</c:v>
                </c:pt>
                <c:pt idx="92">
                  <c:v>3.19999999999997</c:v>
                </c:pt>
                <c:pt idx="93">
                  <c:v>3.2999999999999701</c:v>
                </c:pt>
                <c:pt idx="94">
                  <c:v>3.3999999999999702</c:v>
                </c:pt>
                <c:pt idx="95">
                  <c:v>3.4999999999999698</c:v>
                </c:pt>
                <c:pt idx="96">
                  <c:v>3.5999999999999699</c:v>
                </c:pt>
                <c:pt idx="97">
                  <c:v>3.69999999999997</c:v>
                </c:pt>
                <c:pt idx="98">
                  <c:v>3.7999999999999701</c:v>
                </c:pt>
                <c:pt idx="99">
                  <c:v>3.8999999999999702</c:v>
                </c:pt>
                <c:pt idx="100">
                  <c:v>3.9999999999999698</c:v>
                </c:pt>
                <c:pt idx="101">
                  <c:v>4.0999999999999703</c:v>
                </c:pt>
                <c:pt idx="102">
                  <c:v>4.19999999999997</c:v>
                </c:pt>
                <c:pt idx="103">
                  <c:v>4.2999999999999696</c:v>
                </c:pt>
                <c:pt idx="104">
                  <c:v>4.3999999999999702</c:v>
                </c:pt>
                <c:pt idx="105">
                  <c:v>4.4999999999999698</c:v>
                </c:pt>
                <c:pt idx="106">
                  <c:v>4.5999999999999703</c:v>
                </c:pt>
                <c:pt idx="107">
                  <c:v>4.69999999999997</c:v>
                </c:pt>
                <c:pt idx="108">
                  <c:v>4.7999999999999696</c:v>
                </c:pt>
                <c:pt idx="109">
                  <c:v>4.8999999999999604</c:v>
                </c:pt>
                <c:pt idx="110">
                  <c:v>4.99999999999996</c:v>
                </c:pt>
                <c:pt idx="111">
                  <c:v>5.0999999999999597</c:v>
                </c:pt>
                <c:pt idx="112">
                  <c:v>5.1999999999999602</c:v>
                </c:pt>
                <c:pt idx="113">
                  <c:v>5.2999999999999599</c:v>
                </c:pt>
                <c:pt idx="114">
                  <c:v>5.3999999999999604</c:v>
                </c:pt>
                <c:pt idx="115">
                  <c:v>5.49999999999996</c:v>
                </c:pt>
                <c:pt idx="116">
                  <c:v>5.5999999999999597</c:v>
                </c:pt>
                <c:pt idx="117">
                  <c:v>5.6999999999999602</c:v>
                </c:pt>
                <c:pt idx="118">
                  <c:v>5.7999999999999599</c:v>
                </c:pt>
                <c:pt idx="119">
                  <c:v>5.8999999999999604</c:v>
                </c:pt>
                <c:pt idx="120">
                  <c:v>5.99999999999996</c:v>
                </c:pt>
              </c:numCache>
            </c:numRef>
          </c:xVal>
          <c:yVal>
            <c:numRef>
              <c:f>Curves!$F$2:$F$122</c:f>
              <c:numCache>
                <c:formatCode>General</c:formatCode>
                <c:ptCount val="121"/>
                <c:pt idx="0">
                  <c:v>8.609268612756602E-5</c:v>
                </c:pt>
                <c:pt idx="1">
                  <c:v>9.7068167079599626E-5</c:v>
                </c:pt>
                <c:pt idx="2">
                  <c:v>1.0944269832050534E-4</c:v>
                </c:pt>
                <c:pt idx="3">
                  <c:v>1.2339457598623172E-4</c:v>
                </c:pt>
                <c:pt idx="4">
                  <c:v>1.3912480715655816E-4</c:v>
                </c:pt>
                <c:pt idx="5">
                  <c:v>1.5685999966687179E-4</c:v>
                </c:pt>
                <c:pt idx="6">
                  <c:v>1.7685561880001287E-4</c:v>
                </c:pt>
                <c:pt idx="7">
                  <c:v>1.9939965721107084E-4</c:v>
                </c:pt>
                <c:pt idx="8">
                  <c:v>2.248167702332953E-4</c:v>
                </c:pt>
                <c:pt idx="9">
                  <c:v>2.5347293521645102E-4</c:v>
                </c:pt>
                <c:pt idx="10">
                  <c:v>2.8578070084187918E-4</c:v>
                </c:pt>
                <c:pt idx="11">
                  <c:v>3.2220510053134382E-4</c:v>
                </c:pt>
                <c:pt idx="12">
                  <c:v>3.6327031321807806E-4</c:v>
                </c:pt>
                <c:pt idx="13">
                  <c:v>4.0956716498605043E-4</c:v>
                </c:pt>
                <c:pt idx="14">
                  <c:v>4.6176157652407581E-4</c:v>
                </c:pt>
                <c:pt idx="15">
                  <c:v>5.2060407411094257E-4</c:v>
                </c:pt>
                <c:pt idx="16">
                  <c:v>5.8694049608080273E-4</c:v>
                </c:pt>
                <c:pt idx="17">
                  <c:v>6.6172404255704506E-4</c:v>
                </c:pt>
                <c:pt idx="18">
                  <c:v>7.4602883383669764E-4</c:v>
                </c:pt>
                <c:pt idx="19">
                  <c:v>8.4106516230888139E-4</c:v>
                </c:pt>
                <c:pt idx="20">
                  <c:v>9.4819664435372543E-4</c:v>
                </c:pt>
                <c:pt idx="21">
                  <c:v>1.0689595024419641E-3</c:v>
                </c:pt>
                <c:pt idx="22">
                  <c:v>1.205084233778948E-3</c:v>
                </c:pt>
                <c:pt idx="23">
                  <c:v>1.3585199504289591E-3</c:v>
                </c:pt>
                <c:pt idx="24">
                  <c:v>1.5314617070032849E-3</c:v>
                </c:pt>
                <c:pt idx="25">
                  <c:v>1.7263811657371314E-3</c:v>
                </c:pt>
                <c:pt idx="26">
                  <c:v>1.9460609850855358E-3</c:v>
                </c:pt>
                <c:pt idx="27">
                  <c:v>2.1936333567087185E-3</c:v>
                </c:pt>
                <c:pt idx="28">
                  <c:v>2.4726231566347457E-3</c:v>
                </c:pt>
                <c:pt idx="29">
                  <c:v>2.7869962190422469E-3</c:v>
                </c:pt>
                <c:pt idx="30">
                  <c:v>3.1412132848293883E-3</c:v>
                </c:pt>
                <c:pt idx="31">
                  <c:v>3.5402902209464627E-3</c:v>
                </c:pt>
                <c:pt idx="32">
                  <c:v>3.9898651489940545E-3</c:v>
                </c:pt>
                <c:pt idx="33">
                  <c:v>4.496273160941127E-3</c:v>
                </c:pt>
                <c:pt idx="34">
                  <c:v>5.0666293334661961E-3</c:v>
                </c:pt>
                <c:pt idx="35">
                  <c:v>5.7089207770232723E-3</c:v>
                </c:pt>
                <c:pt idx="36">
                  <c:v>6.4321084669185617E-3</c:v>
                </c:pt>
                <c:pt idx="37">
                  <c:v>7.2462395958313398E-3</c:v>
                </c:pt>
                <c:pt idx="38">
                  <c:v>8.162571153159803E-3</c:v>
                </c:pt>
                <c:pt idx="39">
                  <c:v>9.1937053672879812E-3</c:v>
                </c:pt>
                <c:pt idx="40">
                  <c:v>1.0353737531091624E-2</c:v>
                </c:pt>
                <c:pt idx="41">
                  <c:v>1.1658416554832962E-2</c:v>
                </c:pt>
                <c:pt idx="42">
                  <c:v>1.3125318337102648E-2</c:v>
                </c:pt>
                <c:pt idx="43">
                  <c:v>1.4774031693272887E-2</c:v>
                </c:pt>
                <c:pt idx="44">
                  <c:v>1.6626356107881435E-2</c:v>
                </c:pt>
                <c:pt idx="45">
                  <c:v>1.8706509954354383E-2</c:v>
                </c:pt>
                <c:pt idx="46">
                  <c:v>2.1041347020468035E-2</c:v>
                </c:pt>
                <c:pt idx="47">
                  <c:v>2.3660578155460927E-2</c:v>
                </c:pt>
                <c:pt idx="48">
                  <c:v>2.6596993576865555E-2</c:v>
                </c:pt>
                <c:pt idx="49">
                  <c:v>2.9886679803635886E-2</c:v>
                </c:pt>
                <c:pt idx="50">
                  <c:v>3.3569223281482131E-2</c:v>
                </c:pt>
                <c:pt idx="51">
                  <c:v>3.7687890508605493E-2</c:v>
                </c:pt>
                <c:pt idx="52">
                  <c:v>4.2289771842033301E-2</c:v>
                </c:pt>
                <c:pt idx="53">
                  <c:v>4.7425873177565692E-2</c:v>
                </c:pt>
                <c:pt idx="54">
                  <c:v>5.3151136398062522E-2</c:v>
                </c:pt>
                <c:pt idx="55">
                  <c:v>5.9524365976500147E-2</c:v>
                </c:pt>
                <c:pt idx="56">
                  <c:v>6.6608035575089167E-2</c:v>
                </c:pt>
                <c:pt idx="57">
                  <c:v>7.4467945166026409E-2</c:v>
                </c:pt>
                <c:pt idx="58">
                  <c:v>8.3172696493920548E-2</c:v>
                </c:pt>
                <c:pt idx="59">
                  <c:v>9.2792953117154964E-2</c:v>
                </c:pt>
                <c:pt idx="60">
                  <c:v>0.10340045145824731</c:v>
                </c:pt>
                <c:pt idx="61">
                  <c:v>0.11506673204554736</c:v>
                </c:pt>
                <c:pt idx="62">
                  <c:v>0.12786156631907866</c:v>
                </c:pt>
                <c:pt idx="63">
                  <c:v>0.14185106490048488</c:v>
                </c:pt>
                <c:pt idx="64">
                  <c:v>0.15709546888544954</c:v>
                </c:pt>
                <c:pt idx="65">
                  <c:v>0.17364664701900157</c:v>
                </c:pt>
                <c:pt idx="66">
                  <c:v>0.19154534856146377</c:v>
                </c:pt>
                <c:pt idx="67">
                  <c:v>0.21081829347774311</c:v>
                </c:pt>
                <c:pt idx="68">
                  <c:v>0.23147521650097808</c:v>
                </c:pt>
                <c:pt idx="69">
                  <c:v>0.2535060166623333</c:v>
                </c:pt>
                <c:pt idx="70">
                  <c:v>0.27687819487560539</c:v>
                </c:pt>
                <c:pt idx="71">
                  <c:v>0.3015347839974562</c:v>
                </c:pt>
                <c:pt idx="72">
                  <c:v>0.32739298293223423</c:v>
                </c:pt>
                <c:pt idx="73">
                  <c:v>0.35434369377419905</c:v>
                </c:pt>
                <c:pt idx="74">
                  <c:v>0.38225212523074531</c:v>
                </c:pt>
                <c:pt idx="75">
                  <c:v>0.41095956594132904</c:v>
                </c:pt>
                <c:pt idx="76">
                  <c:v>0.44028635073280109</c:v>
                </c:pt>
                <c:pt idx="77">
                  <c:v>0.47003594823542227</c:v>
                </c:pt>
                <c:pt idx="78">
                  <c:v>0.499999999999994</c:v>
                </c:pt>
                <c:pt idx="79">
                  <c:v>0.52996405176456574</c:v>
                </c:pt>
                <c:pt idx="80">
                  <c:v>0.55971364926718703</c:v>
                </c:pt>
                <c:pt idx="81">
                  <c:v>0.58904043405865636</c:v>
                </c:pt>
                <c:pt idx="82">
                  <c:v>0.61774787476924042</c:v>
                </c:pt>
                <c:pt idx="83">
                  <c:v>0.64565630622578729</c:v>
                </c:pt>
                <c:pt idx="84">
                  <c:v>0.67260701706775261</c:v>
                </c:pt>
                <c:pt idx="85">
                  <c:v>0.69846521600253109</c:v>
                </c:pt>
                <c:pt idx="86">
                  <c:v>0.72312180512438251</c:v>
                </c:pt>
                <c:pt idx="87">
                  <c:v>0.74649398333765538</c:v>
                </c:pt>
                <c:pt idx="88">
                  <c:v>0.76852478349901132</c:v>
                </c:pt>
                <c:pt idx="89">
                  <c:v>0.78918170652224684</c:v>
                </c:pt>
                <c:pt idx="90">
                  <c:v>0.80845465143852691</c:v>
                </c:pt>
                <c:pt idx="91">
                  <c:v>0.82635335298098977</c:v>
                </c:pt>
                <c:pt idx="92">
                  <c:v>0.84290453111454244</c:v>
                </c:pt>
                <c:pt idx="93">
                  <c:v>0.85814893509950785</c:v>
                </c:pt>
                <c:pt idx="94">
                  <c:v>0.8721384336809147</c:v>
                </c:pt>
                <c:pt idx="95">
                  <c:v>0.88493326795444649</c:v>
                </c:pt>
                <c:pt idx="96">
                  <c:v>0.89659954854174695</c:v>
                </c:pt>
                <c:pt idx="97">
                  <c:v>0.90720704688283993</c:v>
                </c:pt>
                <c:pt idx="98">
                  <c:v>0.91682730350607489</c:v>
                </c:pt>
                <c:pt idx="99">
                  <c:v>0.92553205483396939</c:v>
                </c:pt>
                <c:pt idx="100">
                  <c:v>0.93339196442490713</c:v>
                </c:pt>
                <c:pt idx="101">
                  <c:v>0.94047563402349643</c:v>
                </c:pt>
                <c:pt idx="102">
                  <c:v>0.94684886360193443</c:v>
                </c:pt>
                <c:pt idx="103">
                  <c:v>0.95257412682243148</c:v>
                </c:pt>
                <c:pt idx="104">
                  <c:v>0.9577102281579648</c:v>
                </c:pt>
                <c:pt idx="105">
                  <c:v>0.96231210949139268</c:v>
                </c:pt>
                <c:pt idx="106">
                  <c:v>0.96643077671851629</c:v>
                </c:pt>
                <c:pt idx="107">
                  <c:v>0.97011332019636276</c:v>
                </c:pt>
                <c:pt idx="108">
                  <c:v>0.97340300642313327</c:v>
                </c:pt>
                <c:pt idx="109">
                  <c:v>0.9763394218445377</c:v>
                </c:pt>
                <c:pt idx="110">
                  <c:v>0.97895865297953066</c:v>
                </c:pt>
                <c:pt idx="111">
                  <c:v>0.98129349004564437</c:v>
                </c:pt>
                <c:pt idx="112">
                  <c:v>0.98337364389211745</c:v>
                </c:pt>
                <c:pt idx="113">
                  <c:v>0.98522596830672626</c:v>
                </c:pt>
                <c:pt idx="114">
                  <c:v>0.98687468166289649</c:v>
                </c:pt>
                <c:pt idx="115">
                  <c:v>0.98834158344516632</c:v>
                </c:pt>
                <c:pt idx="116">
                  <c:v>0.98964626246890786</c:v>
                </c:pt>
                <c:pt idx="117">
                  <c:v>0.99080629463271153</c:v>
                </c:pt>
                <c:pt idx="118">
                  <c:v>0.99183742884683967</c:v>
                </c:pt>
                <c:pt idx="119">
                  <c:v>0.9927537604041683</c:v>
                </c:pt>
                <c:pt idx="120">
                  <c:v>0.993567891533081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ADA-49B2-9DA5-A6760F7EB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733632"/>
        <c:axId val="796013792"/>
      </c:scatterChart>
      <c:valAx>
        <c:axId val="686733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013792"/>
        <c:crosses val="autoZero"/>
        <c:crossBetween val="midCat"/>
      </c:valAx>
      <c:valAx>
        <c:axId val="79601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33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Scored Items</a:t>
            </a:r>
          </a:p>
        </c:rich>
      </c:tx>
      <c:layout>
        <c:manualLayout>
          <c:xMode val="edge"/>
          <c:yMode val="edge"/>
          <c:x val="0.37935258092738416"/>
          <c:y val="3.086419753086419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534776902887142E-2"/>
          <c:y val="0.11013577789910947"/>
          <c:w val="0.89075699912510942"/>
          <c:h val="0.711285261769742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Scored!$B$1</c:f>
              <c:strCache>
                <c:ptCount val="1"/>
                <c:pt idx="0">
                  <c:v>V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Scored!$A$2:$A$122</c:f>
              <c:numCache>
                <c:formatCode>0.00</c:formatCode>
                <c:ptCount val="121"/>
                <c:pt idx="0">
                  <c:v>-6</c:v>
                </c:pt>
                <c:pt idx="1">
                  <c:v>-5.9</c:v>
                </c:pt>
                <c:pt idx="2">
                  <c:v>-5.8</c:v>
                </c:pt>
                <c:pt idx="3">
                  <c:v>-5.7</c:v>
                </c:pt>
                <c:pt idx="4">
                  <c:v>-5.6</c:v>
                </c:pt>
                <c:pt idx="5">
                  <c:v>-5.5</c:v>
                </c:pt>
                <c:pt idx="6">
                  <c:v>-5.4</c:v>
                </c:pt>
                <c:pt idx="7">
                  <c:v>-5.3</c:v>
                </c:pt>
                <c:pt idx="8">
                  <c:v>-5.2</c:v>
                </c:pt>
                <c:pt idx="9">
                  <c:v>-5.0999999999999996</c:v>
                </c:pt>
                <c:pt idx="10">
                  <c:v>-5</c:v>
                </c:pt>
                <c:pt idx="11">
                  <c:v>-4.9000000000000004</c:v>
                </c:pt>
                <c:pt idx="12">
                  <c:v>-4.8</c:v>
                </c:pt>
                <c:pt idx="13">
                  <c:v>-4.7</c:v>
                </c:pt>
                <c:pt idx="14">
                  <c:v>-4.5999999999999996</c:v>
                </c:pt>
                <c:pt idx="15">
                  <c:v>-4.5</c:v>
                </c:pt>
                <c:pt idx="16">
                  <c:v>-4.4000000000000004</c:v>
                </c:pt>
                <c:pt idx="17">
                  <c:v>-4.3</c:v>
                </c:pt>
                <c:pt idx="18">
                  <c:v>-4.2</c:v>
                </c:pt>
                <c:pt idx="19">
                  <c:v>-4.0999999999999996</c:v>
                </c:pt>
                <c:pt idx="20">
                  <c:v>-4</c:v>
                </c:pt>
                <c:pt idx="21">
                  <c:v>-3.9</c:v>
                </c:pt>
                <c:pt idx="22">
                  <c:v>-3.8</c:v>
                </c:pt>
                <c:pt idx="23">
                  <c:v>-3.7</c:v>
                </c:pt>
                <c:pt idx="24">
                  <c:v>-3.6</c:v>
                </c:pt>
                <c:pt idx="25">
                  <c:v>-3.5000000000000102</c:v>
                </c:pt>
                <c:pt idx="26">
                  <c:v>-3.4000000000000101</c:v>
                </c:pt>
                <c:pt idx="27">
                  <c:v>-3.30000000000001</c:v>
                </c:pt>
                <c:pt idx="28">
                  <c:v>-3.2000000000000099</c:v>
                </c:pt>
                <c:pt idx="29">
                  <c:v>-3.1000000000000099</c:v>
                </c:pt>
                <c:pt idx="30">
                  <c:v>-3.0000000000000102</c:v>
                </c:pt>
                <c:pt idx="31">
                  <c:v>-2.9000000000000101</c:v>
                </c:pt>
                <c:pt idx="32">
                  <c:v>-2.80000000000001</c:v>
                </c:pt>
                <c:pt idx="33">
                  <c:v>-2.7000000000000099</c:v>
                </c:pt>
                <c:pt idx="34">
                  <c:v>-2.6000000000000099</c:v>
                </c:pt>
                <c:pt idx="35">
                  <c:v>-2.5000000000000102</c:v>
                </c:pt>
                <c:pt idx="36">
                  <c:v>-2.4000000000000101</c:v>
                </c:pt>
                <c:pt idx="37">
                  <c:v>-2.30000000000001</c:v>
                </c:pt>
                <c:pt idx="38">
                  <c:v>-2.2000000000000099</c:v>
                </c:pt>
                <c:pt idx="39">
                  <c:v>-2.1000000000000099</c:v>
                </c:pt>
                <c:pt idx="40">
                  <c:v>-2.0000000000000102</c:v>
                </c:pt>
                <c:pt idx="41">
                  <c:v>-1.9000000000000099</c:v>
                </c:pt>
                <c:pt idx="42">
                  <c:v>-1.80000000000001</c:v>
                </c:pt>
                <c:pt idx="43">
                  <c:v>-1.7000000000000099</c:v>
                </c:pt>
                <c:pt idx="44">
                  <c:v>-1.6000000000000101</c:v>
                </c:pt>
                <c:pt idx="45">
                  <c:v>-1.50000000000001</c:v>
                </c:pt>
                <c:pt idx="46">
                  <c:v>-1.4000000000000099</c:v>
                </c:pt>
                <c:pt idx="47">
                  <c:v>-1.30000000000001</c:v>
                </c:pt>
                <c:pt idx="48">
                  <c:v>-1.2000000000000099</c:v>
                </c:pt>
                <c:pt idx="49">
                  <c:v>-1.1000000000000101</c:v>
                </c:pt>
                <c:pt idx="50">
                  <c:v>-1.00000000000001</c:v>
                </c:pt>
                <c:pt idx="51">
                  <c:v>-0.90000000000001001</c:v>
                </c:pt>
                <c:pt idx="52">
                  <c:v>-0.80000000000001004</c:v>
                </c:pt>
                <c:pt idx="53">
                  <c:v>-0.70000000000002005</c:v>
                </c:pt>
                <c:pt idx="54">
                  <c:v>-0.60000000000001996</c:v>
                </c:pt>
                <c:pt idx="55">
                  <c:v>-0.50000000000001998</c:v>
                </c:pt>
                <c:pt idx="56">
                  <c:v>-0.40000000000002001</c:v>
                </c:pt>
                <c:pt idx="57">
                  <c:v>-0.30000000000001997</c:v>
                </c:pt>
                <c:pt idx="58">
                  <c:v>-0.20000000000002</c:v>
                </c:pt>
                <c:pt idx="59">
                  <c:v>-0.10000000000002</c:v>
                </c:pt>
                <c:pt idx="60">
                  <c:v>-2.0428103653102899E-14</c:v>
                </c:pt>
                <c:pt idx="61">
                  <c:v>9.9999999999980105E-2</c:v>
                </c:pt>
                <c:pt idx="62">
                  <c:v>0.19999999999998</c:v>
                </c:pt>
                <c:pt idx="63">
                  <c:v>0.29999999999998</c:v>
                </c:pt>
                <c:pt idx="64">
                  <c:v>0.39999999999997998</c:v>
                </c:pt>
                <c:pt idx="65">
                  <c:v>0.49999999999998002</c:v>
                </c:pt>
                <c:pt idx="66">
                  <c:v>0.59999999999997999</c:v>
                </c:pt>
                <c:pt idx="67">
                  <c:v>0.69999999999997997</c:v>
                </c:pt>
                <c:pt idx="68">
                  <c:v>0.79999999999997995</c:v>
                </c:pt>
                <c:pt idx="69">
                  <c:v>0.89999999999998004</c:v>
                </c:pt>
                <c:pt idx="70">
                  <c:v>0.99999999999998002</c:v>
                </c:pt>
                <c:pt idx="71">
                  <c:v>1.0999999999999801</c:v>
                </c:pt>
                <c:pt idx="72">
                  <c:v>1.19999999999998</c:v>
                </c:pt>
                <c:pt idx="73">
                  <c:v>1.2999999999999801</c:v>
                </c:pt>
                <c:pt idx="74">
                  <c:v>1.3999999999999799</c:v>
                </c:pt>
                <c:pt idx="75">
                  <c:v>1.49999999999998</c:v>
                </c:pt>
                <c:pt idx="76">
                  <c:v>1.5999999999999801</c:v>
                </c:pt>
                <c:pt idx="77">
                  <c:v>1.69999999999998</c:v>
                </c:pt>
                <c:pt idx="78">
                  <c:v>1.7999999999999801</c:v>
                </c:pt>
                <c:pt idx="79">
                  <c:v>1.8999999999999799</c:v>
                </c:pt>
                <c:pt idx="80">
                  <c:v>1.99999999999998</c:v>
                </c:pt>
                <c:pt idx="81">
                  <c:v>2.0999999999999699</c:v>
                </c:pt>
                <c:pt idx="82">
                  <c:v>2.19999999999997</c:v>
                </c:pt>
                <c:pt idx="83">
                  <c:v>2.2999999999999701</c:v>
                </c:pt>
                <c:pt idx="84">
                  <c:v>2.3999999999999702</c:v>
                </c:pt>
                <c:pt idx="85">
                  <c:v>2.4999999999999698</c:v>
                </c:pt>
                <c:pt idx="86">
                  <c:v>2.5999999999999699</c:v>
                </c:pt>
                <c:pt idx="87">
                  <c:v>2.69999999999997</c:v>
                </c:pt>
                <c:pt idx="88">
                  <c:v>2.7999999999999701</c:v>
                </c:pt>
                <c:pt idx="89">
                  <c:v>2.8999999999999702</c:v>
                </c:pt>
                <c:pt idx="90">
                  <c:v>2.9999999999999698</c:v>
                </c:pt>
                <c:pt idx="91">
                  <c:v>3.0999999999999699</c:v>
                </c:pt>
                <c:pt idx="92">
                  <c:v>3.19999999999997</c:v>
                </c:pt>
                <c:pt idx="93">
                  <c:v>3.2999999999999701</c:v>
                </c:pt>
                <c:pt idx="94">
                  <c:v>3.3999999999999702</c:v>
                </c:pt>
                <c:pt idx="95">
                  <c:v>3.4999999999999698</c:v>
                </c:pt>
                <c:pt idx="96">
                  <c:v>3.5999999999999699</c:v>
                </c:pt>
                <c:pt idx="97">
                  <c:v>3.69999999999997</c:v>
                </c:pt>
                <c:pt idx="98">
                  <c:v>3.7999999999999701</c:v>
                </c:pt>
                <c:pt idx="99">
                  <c:v>3.8999999999999702</c:v>
                </c:pt>
                <c:pt idx="100">
                  <c:v>3.9999999999999698</c:v>
                </c:pt>
                <c:pt idx="101">
                  <c:v>4.0999999999999703</c:v>
                </c:pt>
                <c:pt idx="102">
                  <c:v>4.19999999999997</c:v>
                </c:pt>
                <c:pt idx="103">
                  <c:v>4.2999999999999696</c:v>
                </c:pt>
                <c:pt idx="104">
                  <c:v>4.3999999999999702</c:v>
                </c:pt>
                <c:pt idx="105">
                  <c:v>4.4999999999999698</c:v>
                </c:pt>
                <c:pt idx="106">
                  <c:v>4.5999999999999703</c:v>
                </c:pt>
                <c:pt idx="107">
                  <c:v>4.69999999999997</c:v>
                </c:pt>
                <c:pt idx="108">
                  <c:v>4.7999999999999696</c:v>
                </c:pt>
                <c:pt idx="109">
                  <c:v>4.8999999999999604</c:v>
                </c:pt>
                <c:pt idx="110">
                  <c:v>4.99999999999996</c:v>
                </c:pt>
                <c:pt idx="111">
                  <c:v>5.0999999999999597</c:v>
                </c:pt>
                <c:pt idx="112">
                  <c:v>5.1999999999999602</c:v>
                </c:pt>
                <c:pt idx="113">
                  <c:v>5.2999999999999599</c:v>
                </c:pt>
                <c:pt idx="114">
                  <c:v>5.3999999999999604</c:v>
                </c:pt>
                <c:pt idx="115">
                  <c:v>5.49999999999996</c:v>
                </c:pt>
                <c:pt idx="116">
                  <c:v>5.5999999999999597</c:v>
                </c:pt>
                <c:pt idx="117">
                  <c:v>5.6999999999999602</c:v>
                </c:pt>
                <c:pt idx="118">
                  <c:v>5.7999999999999599</c:v>
                </c:pt>
                <c:pt idx="119">
                  <c:v>5.8999999999999604</c:v>
                </c:pt>
                <c:pt idx="120">
                  <c:v>5.99999999999996</c:v>
                </c:pt>
              </c:numCache>
            </c:numRef>
          </c:xVal>
          <c:yVal>
            <c:numRef>
              <c:f>Scored!$B$2:$B$122</c:f>
              <c:numCache>
                <c:formatCode>General</c:formatCode>
                <c:ptCount val="121"/>
                <c:pt idx="0">
                  <c:v>0.999061229212862</c:v>
                </c:pt>
                <c:pt idx="1">
                  <c:v>0.99888746396713968</c:v>
                </c:pt>
                <c:pt idx="2">
                  <c:v>0.998681577446766</c:v>
                </c:pt>
                <c:pt idx="3">
                  <c:v>0.99843764904967103</c:v>
                </c:pt>
                <c:pt idx="4">
                  <c:v>0.99814867381879391</c:v>
                </c:pt>
                <c:pt idx="5">
                  <c:v>0.99780636664329125</c:v>
                </c:pt>
                <c:pt idx="6">
                  <c:v>0.99740093223767667</c:v>
                </c:pt>
                <c:pt idx="7">
                  <c:v>0.99692079537852274</c:v>
                </c:pt>
                <c:pt idx="8">
                  <c:v>0.99635228517922503</c:v>
                </c:pt>
                <c:pt idx="9">
                  <c:v>0.99567926648008809</c:v>
                </c:pt>
                <c:pt idx="10">
                  <c:v>0.99488271076995849</c:v>
                </c:pt>
                <c:pt idx="11">
                  <c:v>0.99394019850841586</c:v>
                </c:pt>
                <c:pt idx="12">
                  <c:v>0.99282534439092529</c:v>
                </c:pt>
                <c:pt idx="13">
                  <c:v>0.9915071371483557</c:v>
                </c:pt>
                <c:pt idx="14">
                  <c:v>0.98994918611652627</c:v>
                </c:pt>
                <c:pt idx="15">
                  <c:v>0.98810886835561296</c:v>
                </c:pt>
                <c:pt idx="16">
                  <c:v>0.98593637295675451</c:v>
                </c:pt>
                <c:pt idx="17">
                  <c:v>0.98337364389211834</c:v>
                </c:pt>
                <c:pt idx="18">
                  <c:v>0.98035323005231134</c:v>
                </c:pt>
                <c:pt idx="19">
                  <c:v>0.97679706185435589</c:v>
                </c:pt>
                <c:pt idx="20">
                  <c:v>0.97261518904987432</c:v>
                </c:pt>
                <c:pt idx="21">
                  <c:v>0.96770453530154943</c:v>
                </c:pt>
                <c:pt idx="22">
                  <c:v>0.96194775292900792</c:v>
                </c:pt>
                <c:pt idx="23">
                  <c:v>0.95521229695021326</c:v>
                </c:pt>
                <c:pt idx="24">
                  <c:v>0.94734988156469713</c:v>
                </c:pt>
                <c:pt idx="25">
                  <c:v>0.93819653373641243</c:v>
                </c:pt>
                <c:pt idx="26">
                  <c:v>0.92757351463848348</c:v>
                </c:pt>
                <c:pt idx="27">
                  <c:v>0.91528943426926557</c:v>
                </c:pt>
                <c:pt idx="28">
                  <c:v>0.90114392682183209</c:v>
                </c:pt>
                <c:pt idx="29">
                  <c:v>0.88493326795445193</c:v>
                </c:pt>
                <c:pt idx="30">
                  <c:v>0.86645827746678949</c:v>
                </c:pt>
                <c:pt idx="31">
                  <c:v>0.84553473491646758</c:v>
                </c:pt>
                <c:pt idx="32">
                  <c:v>0.82200631421375603</c:v>
                </c:pt>
                <c:pt idx="33">
                  <c:v>0.79575969771591093</c:v>
                </c:pt>
                <c:pt idx="34">
                  <c:v>0.76674106422854582</c:v>
                </c:pt>
                <c:pt idx="35">
                  <c:v>0.73497259946652216</c:v>
                </c:pt>
                <c:pt idx="36">
                  <c:v>0.70056714247397656</c:v>
                </c:pt>
                <c:pt idx="37">
                  <c:v>0.66373869740435643</c:v>
                </c:pt>
                <c:pt idx="38">
                  <c:v>0.62480647446843318</c:v>
                </c:pt>
                <c:pt idx="39">
                  <c:v>0.5841905229354114</c:v>
                </c:pt>
                <c:pt idx="40">
                  <c:v>0.54239794077435532</c:v>
                </c:pt>
                <c:pt idx="41">
                  <c:v>0.50000000000000422</c:v>
                </c:pt>
                <c:pt idx="42">
                  <c:v>0.45760205922565333</c:v>
                </c:pt>
                <c:pt idx="43">
                  <c:v>0.41580947706459681</c:v>
                </c:pt>
                <c:pt idx="44">
                  <c:v>0.37519352553157481</c:v>
                </c:pt>
                <c:pt idx="45">
                  <c:v>0.33626130259565112</c:v>
                </c:pt>
                <c:pt idx="46">
                  <c:v>0.29943285752603066</c:v>
                </c:pt>
                <c:pt idx="47">
                  <c:v>0.26502740053348461</c:v>
                </c:pt>
                <c:pt idx="48">
                  <c:v>0.23325893577146029</c:v>
                </c:pt>
                <c:pt idx="49">
                  <c:v>0.20424030228409451</c:v>
                </c:pt>
                <c:pt idx="50">
                  <c:v>0.17799368578624908</c:v>
                </c:pt>
                <c:pt idx="51">
                  <c:v>0.15446526508353697</c:v>
                </c:pt>
                <c:pt idx="52">
                  <c:v>0.13354172253321439</c:v>
                </c:pt>
                <c:pt idx="53">
                  <c:v>0.11506673204555329</c:v>
                </c:pt>
                <c:pt idx="54">
                  <c:v>9.8856073178172466E-2</c:v>
                </c:pt>
                <c:pt idx="55">
                  <c:v>8.4710565730738319E-2</c:v>
                </c:pt>
                <c:pt idx="56">
                  <c:v>7.2426485361520077E-2</c:v>
                </c:pt>
                <c:pt idx="57">
                  <c:v>6.1803466263590678E-2</c:v>
                </c:pt>
                <c:pt idx="58">
                  <c:v>5.2650118435304538E-2</c:v>
                </c:pt>
                <c:pt idx="59">
                  <c:v>4.4787703049788297E-2</c:v>
                </c:pt>
                <c:pt idx="60">
                  <c:v>3.8052247070993528E-2</c:v>
                </c:pt>
                <c:pt idx="61">
                  <c:v>3.2295464698451681E-2</c:v>
                </c:pt>
                <c:pt idx="62">
                  <c:v>2.738481095012657E-2</c:v>
                </c:pt>
                <c:pt idx="63">
                  <c:v>2.320293814564478E-2</c:v>
                </c:pt>
                <c:pt idx="64">
                  <c:v>1.9646769947689324E-2</c:v>
                </c:pt>
                <c:pt idx="65">
                  <c:v>1.6626356107882323E-2</c:v>
                </c:pt>
                <c:pt idx="66">
                  <c:v>1.406362704324593E-2</c:v>
                </c:pt>
                <c:pt idx="67">
                  <c:v>1.1891131644387376E-2</c:v>
                </c:pt>
                <c:pt idx="68">
                  <c:v>1.0050813883474063E-2</c:v>
                </c:pt>
                <c:pt idx="69">
                  <c:v>8.4928628516446336E-3</c:v>
                </c:pt>
                <c:pt idx="70">
                  <c:v>7.1746556090750424E-3</c:v>
                </c:pt>
                <c:pt idx="71">
                  <c:v>6.0598014915844711E-3</c:v>
                </c:pt>
                <c:pt idx="72">
                  <c:v>5.1172892300416217E-3</c:v>
                </c:pt>
                <c:pt idx="73">
                  <c:v>4.3207335199121344E-3</c:v>
                </c:pt>
                <c:pt idx="74">
                  <c:v>3.6477148207749721E-3</c:v>
                </c:pt>
                <c:pt idx="75">
                  <c:v>3.0792046214773716E-3</c:v>
                </c:pt>
                <c:pt idx="76">
                  <c:v>2.5990677623234371E-3</c:v>
                </c:pt>
                <c:pt idx="77">
                  <c:v>2.1936333567087463E-3</c:v>
                </c:pt>
                <c:pt idx="78">
                  <c:v>1.8513261812059811E-3</c:v>
                </c:pt>
                <c:pt idx="79">
                  <c:v>1.5623509503289723E-3</c:v>
                </c:pt>
                <c:pt idx="80">
                  <c:v>1.3184225532338889E-3</c:v>
                </c:pt>
                <c:pt idx="81">
                  <c:v>1.1125360328604339E-3</c:v>
                </c:pt>
                <c:pt idx="82">
                  <c:v>9.3877078713799911E-4</c:v>
                </c:pt>
                <c:pt idx="83">
                  <c:v>7.9212413839524487E-4</c:v>
                </c:pt>
                <c:pt idx="84">
                  <c:v>6.6837003479547352E-4</c:v>
                </c:pt>
                <c:pt idx="85">
                  <c:v>5.6393920869224345E-4</c:v>
                </c:pt>
                <c:pt idx="86">
                  <c:v>4.7581761883841445E-4</c:v>
                </c:pt>
                <c:pt idx="87">
                  <c:v>4.0146044758282429E-4</c:v>
                </c:pt>
                <c:pt idx="88">
                  <c:v>3.387193137152078E-4</c:v>
                </c:pt>
                <c:pt idx="89">
                  <c:v>2.8578070084195328E-4</c:v>
                </c:pt>
                <c:pt idx="90">
                  <c:v>2.4111389494740898E-4</c:v>
                </c:pt>
                <c:pt idx="91">
                  <c:v>2.0342697805519894E-4</c:v>
                </c:pt>
                <c:pt idx="92">
                  <c:v>1.7162964243377932E-4</c:v>
                </c:pt>
                <c:pt idx="93">
                  <c:v>1.4480177609177414E-4</c:v>
                </c:pt>
                <c:pt idx="94">
                  <c:v>1.2216692943689544E-4</c:v>
                </c:pt>
                <c:pt idx="95">
                  <c:v>1.0306990864850096E-4</c:v>
                </c:pt>
                <c:pt idx="96">
                  <c:v>8.6957856768044017E-5</c:v>
                </c:pt>
                <c:pt idx="97">
                  <c:v>7.3364281637733342E-5</c:v>
                </c:pt>
                <c:pt idx="98">
                  <c:v>6.1895573118753155E-5</c:v>
                </c:pt>
                <c:pt idx="99">
                  <c:v>5.2219622644344987E-5</c:v>
                </c:pt>
                <c:pt idx="100">
                  <c:v>4.4056218025612104E-5</c:v>
                </c:pt>
                <c:pt idx="101">
                  <c:v>3.7168937102927124E-5</c:v>
                </c:pt>
                <c:pt idx="102">
                  <c:v>3.1358306721296358E-5</c:v>
                </c:pt>
                <c:pt idx="103">
                  <c:v>2.6456029787014224E-5</c:v>
                </c:pt>
                <c:pt idx="104">
                  <c:v>2.2320113834295441E-5</c:v>
                </c:pt>
                <c:pt idx="105">
                  <c:v>1.8830760452837048E-5</c:v>
                </c:pt>
                <c:pt idx="106">
                  <c:v>1.5886896833294806E-5</c:v>
                </c:pt>
                <c:pt idx="107">
                  <c:v>1.3403249192633915E-5</c:v>
                </c:pt>
                <c:pt idx="108">
                  <c:v>1.1307873466259721E-5</c:v>
                </c:pt>
                <c:pt idx="109">
                  <c:v>9.5400718591598377E-6</c:v>
                </c:pt>
                <c:pt idx="110">
                  <c:v>8.0486349796071721E-6</c:v>
                </c:pt>
                <c:pt idx="111">
                  <c:v>6.7903586979944919E-6</c:v>
                </c:pt>
                <c:pt idx="112">
                  <c:v>5.7287928070248739E-6</c:v>
                </c:pt>
                <c:pt idx="113">
                  <c:v>4.8331852617877757E-6</c:v>
                </c:pt>
                <c:pt idx="114">
                  <c:v>4.0775914383894829E-6</c:v>
                </c:pt>
                <c:pt idx="115">
                  <c:v>3.4401226258751194E-6</c:v>
                </c:pt>
                <c:pt idx="116">
                  <c:v>2.9023119851867563E-6</c:v>
                </c:pt>
                <c:pt idx="117">
                  <c:v>2.448579619840352E-6</c:v>
                </c:pt>
                <c:pt idx="118">
                  <c:v>2.0657812664914843E-6</c:v>
                </c:pt>
                <c:pt idx="119">
                  <c:v>1.7428275361774936E-6</c:v>
                </c:pt>
                <c:pt idx="120">
                  <c:v>1.4703626743939324E-6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BC-42F8-83BA-6F5D62E5B74A}"/>
            </c:ext>
          </c:extLst>
        </c:ser>
        <c:ser>
          <c:idx val="1"/>
          <c:order val="1"/>
          <c:tx>
            <c:strRef>
              <c:f>Scored!$C$1</c:f>
              <c:strCache>
                <c:ptCount val="1"/>
                <c:pt idx="0">
                  <c:v>W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Scored!$A$2:$A$122</c:f>
              <c:numCache>
                <c:formatCode>0.00</c:formatCode>
                <c:ptCount val="121"/>
                <c:pt idx="0">
                  <c:v>-6</c:v>
                </c:pt>
                <c:pt idx="1">
                  <c:v>-5.9</c:v>
                </c:pt>
                <c:pt idx="2">
                  <c:v>-5.8</c:v>
                </c:pt>
                <c:pt idx="3">
                  <c:v>-5.7</c:v>
                </c:pt>
                <c:pt idx="4">
                  <c:v>-5.6</c:v>
                </c:pt>
                <c:pt idx="5">
                  <c:v>-5.5</c:v>
                </c:pt>
                <c:pt idx="6">
                  <c:v>-5.4</c:v>
                </c:pt>
                <c:pt idx="7">
                  <c:v>-5.3</c:v>
                </c:pt>
                <c:pt idx="8">
                  <c:v>-5.2</c:v>
                </c:pt>
                <c:pt idx="9">
                  <c:v>-5.0999999999999996</c:v>
                </c:pt>
                <c:pt idx="10">
                  <c:v>-5</c:v>
                </c:pt>
                <c:pt idx="11">
                  <c:v>-4.9000000000000004</c:v>
                </c:pt>
                <c:pt idx="12">
                  <c:v>-4.8</c:v>
                </c:pt>
                <c:pt idx="13">
                  <c:v>-4.7</c:v>
                </c:pt>
                <c:pt idx="14">
                  <c:v>-4.5999999999999996</c:v>
                </c:pt>
                <c:pt idx="15">
                  <c:v>-4.5</c:v>
                </c:pt>
                <c:pt idx="16">
                  <c:v>-4.4000000000000004</c:v>
                </c:pt>
                <c:pt idx="17">
                  <c:v>-4.3</c:v>
                </c:pt>
                <c:pt idx="18">
                  <c:v>-4.2</c:v>
                </c:pt>
                <c:pt idx="19">
                  <c:v>-4.0999999999999996</c:v>
                </c:pt>
                <c:pt idx="20">
                  <c:v>-4</c:v>
                </c:pt>
                <c:pt idx="21">
                  <c:v>-3.9</c:v>
                </c:pt>
                <c:pt idx="22">
                  <c:v>-3.8</c:v>
                </c:pt>
                <c:pt idx="23">
                  <c:v>-3.7</c:v>
                </c:pt>
                <c:pt idx="24">
                  <c:v>-3.6</c:v>
                </c:pt>
                <c:pt idx="25">
                  <c:v>-3.5000000000000102</c:v>
                </c:pt>
                <c:pt idx="26">
                  <c:v>-3.4000000000000101</c:v>
                </c:pt>
                <c:pt idx="27">
                  <c:v>-3.30000000000001</c:v>
                </c:pt>
                <c:pt idx="28">
                  <c:v>-3.2000000000000099</c:v>
                </c:pt>
                <c:pt idx="29">
                  <c:v>-3.1000000000000099</c:v>
                </c:pt>
                <c:pt idx="30">
                  <c:v>-3.0000000000000102</c:v>
                </c:pt>
                <c:pt idx="31">
                  <c:v>-2.9000000000000101</c:v>
                </c:pt>
                <c:pt idx="32">
                  <c:v>-2.80000000000001</c:v>
                </c:pt>
                <c:pt idx="33">
                  <c:v>-2.7000000000000099</c:v>
                </c:pt>
                <c:pt idx="34">
                  <c:v>-2.6000000000000099</c:v>
                </c:pt>
                <c:pt idx="35">
                  <c:v>-2.5000000000000102</c:v>
                </c:pt>
                <c:pt idx="36">
                  <c:v>-2.4000000000000101</c:v>
                </c:pt>
                <c:pt idx="37">
                  <c:v>-2.30000000000001</c:v>
                </c:pt>
                <c:pt idx="38">
                  <c:v>-2.2000000000000099</c:v>
                </c:pt>
                <c:pt idx="39">
                  <c:v>-2.1000000000000099</c:v>
                </c:pt>
                <c:pt idx="40">
                  <c:v>-2.0000000000000102</c:v>
                </c:pt>
                <c:pt idx="41">
                  <c:v>-1.9000000000000099</c:v>
                </c:pt>
                <c:pt idx="42">
                  <c:v>-1.80000000000001</c:v>
                </c:pt>
                <c:pt idx="43">
                  <c:v>-1.7000000000000099</c:v>
                </c:pt>
                <c:pt idx="44">
                  <c:v>-1.6000000000000101</c:v>
                </c:pt>
                <c:pt idx="45">
                  <c:v>-1.50000000000001</c:v>
                </c:pt>
                <c:pt idx="46">
                  <c:v>-1.4000000000000099</c:v>
                </c:pt>
                <c:pt idx="47">
                  <c:v>-1.30000000000001</c:v>
                </c:pt>
                <c:pt idx="48">
                  <c:v>-1.2000000000000099</c:v>
                </c:pt>
                <c:pt idx="49">
                  <c:v>-1.1000000000000101</c:v>
                </c:pt>
                <c:pt idx="50">
                  <c:v>-1.00000000000001</c:v>
                </c:pt>
                <c:pt idx="51">
                  <c:v>-0.90000000000001001</c:v>
                </c:pt>
                <c:pt idx="52">
                  <c:v>-0.80000000000001004</c:v>
                </c:pt>
                <c:pt idx="53">
                  <c:v>-0.70000000000002005</c:v>
                </c:pt>
                <c:pt idx="54">
                  <c:v>-0.60000000000001996</c:v>
                </c:pt>
                <c:pt idx="55">
                  <c:v>-0.50000000000001998</c:v>
                </c:pt>
                <c:pt idx="56">
                  <c:v>-0.40000000000002001</c:v>
                </c:pt>
                <c:pt idx="57">
                  <c:v>-0.30000000000001997</c:v>
                </c:pt>
                <c:pt idx="58">
                  <c:v>-0.20000000000002</c:v>
                </c:pt>
                <c:pt idx="59">
                  <c:v>-0.10000000000002</c:v>
                </c:pt>
                <c:pt idx="60">
                  <c:v>-2.0428103653102899E-14</c:v>
                </c:pt>
                <c:pt idx="61">
                  <c:v>9.9999999999980105E-2</c:v>
                </c:pt>
                <c:pt idx="62">
                  <c:v>0.19999999999998</c:v>
                </c:pt>
                <c:pt idx="63">
                  <c:v>0.29999999999998</c:v>
                </c:pt>
                <c:pt idx="64">
                  <c:v>0.39999999999997998</c:v>
                </c:pt>
                <c:pt idx="65">
                  <c:v>0.49999999999998002</c:v>
                </c:pt>
                <c:pt idx="66">
                  <c:v>0.59999999999997999</c:v>
                </c:pt>
                <c:pt idx="67">
                  <c:v>0.69999999999997997</c:v>
                </c:pt>
                <c:pt idx="68">
                  <c:v>0.79999999999997995</c:v>
                </c:pt>
                <c:pt idx="69">
                  <c:v>0.89999999999998004</c:v>
                </c:pt>
                <c:pt idx="70">
                  <c:v>0.99999999999998002</c:v>
                </c:pt>
                <c:pt idx="71">
                  <c:v>1.0999999999999801</c:v>
                </c:pt>
                <c:pt idx="72">
                  <c:v>1.19999999999998</c:v>
                </c:pt>
                <c:pt idx="73">
                  <c:v>1.2999999999999801</c:v>
                </c:pt>
                <c:pt idx="74">
                  <c:v>1.3999999999999799</c:v>
                </c:pt>
                <c:pt idx="75">
                  <c:v>1.49999999999998</c:v>
                </c:pt>
                <c:pt idx="76">
                  <c:v>1.5999999999999801</c:v>
                </c:pt>
                <c:pt idx="77">
                  <c:v>1.69999999999998</c:v>
                </c:pt>
                <c:pt idx="78">
                  <c:v>1.7999999999999801</c:v>
                </c:pt>
                <c:pt idx="79">
                  <c:v>1.8999999999999799</c:v>
                </c:pt>
                <c:pt idx="80">
                  <c:v>1.99999999999998</c:v>
                </c:pt>
                <c:pt idx="81">
                  <c:v>2.0999999999999699</c:v>
                </c:pt>
                <c:pt idx="82">
                  <c:v>2.19999999999997</c:v>
                </c:pt>
                <c:pt idx="83">
                  <c:v>2.2999999999999701</c:v>
                </c:pt>
                <c:pt idx="84">
                  <c:v>2.3999999999999702</c:v>
                </c:pt>
                <c:pt idx="85">
                  <c:v>2.4999999999999698</c:v>
                </c:pt>
                <c:pt idx="86">
                  <c:v>2.5999999999999699</c:v>
                </c:pt>
                <c:pt idx="87">
                  <c:v>2.69999999999997</c:v>
                </c:pt>
                <c:pt idx="88">
                  <c:v>2.7999999999999701</c:v>
                </c:pt>
                <c:pt idx="89">
                  <c:v>2.8999999999999702</c:v>
                </c:pt>
                <c:pt idx="90">
                  <c:v>2.9999999999999698</c:v>
                </c:pt>
                <c:pt idx="91">
                  <c:v>3.0999999999999699</c:v>
                </c:pt>
                <c:pt idx="92">
                  <c:v>3.19999999999997</c:v>
                </c:pt>
                <c:pt idx="93">
                  <c:v>3.2999999999999701</c:v>
                </c:pt>
                <c:pt idx="94">
                  <c:v>3.3999999999999702</c:v>
                </c:pt>
                <c:pt idx="95">
                  <c:v>3.4999999999999698</c:v>
                </c:pt>
                <c:pt idx="96">
                  <c:v>3.5999999999999699</c:v>
                </c:pt>
                <c:pt idx="97">
                  <c:v>3.69999999999997</c:v>
                </c:pt>
                <c:pt idx="98">
                  <c:v>3.7999999999999701</c:v>
                </c:pt>
                <c:pt idx="99">
                  <c:v>3.8999999999999702</c:v>
                </c:pt>
                <c:pt idx="100">
                  <c:v>3.9999999999999698</c:v>
                </c:pt>
                <c:pt idx="101">
                  <c:v>4.0999999999999703</c:v>
                </c:pt>
                <c:pt idx="102">
                  <c:v>4.19999999999997</c:v>
                </c:pt>
                <c:pt idx="103">
                  <c:v>4.2999999999999696</c:v>
                </c:pt>
                <c:pt idx="104">
                  <c:v>4.3999999999999702</c:v>
                </c:pt>
                <c:pt idx="105">
                  <c:v>4.4999999999999698</c:v>
                </c:pt>
                <c:pt idx="106">
                  <c:v>4.5999999999999703</c:v>
                </c:pt>
                <c:pt idx="107">
                  <c:v>4.69999999999997</c:v>
                </c:pt>
                <c:pt idx="108">
                  <c:v>4.7999999999999696</c:v>
                </c:pt>
                <c:pt idx="109">
                  <c:v>4.8999999999999604</c:v>
                </c:pt>
                <c:pt idx="110">
                  <c:v>4.99999999999996</c:v>
                </c:pt>
                <c:pt idx="111">
                  <c:v>5.0999999999999597</c:v>
                </c:pt>
                <c:pt idx="112">
                  <c:v>5.1999999999999602</c:v>
                </c:pt>
                <c:pt idx="113">
                  <c:v>5.2999999999999599</c:v>
                </c:pt>
                <c:pt idx="114">
                  <c:v>5.3999999999999604</c:v>
                </c:pt>
                <c:pt idx="115">
                  <c:v>5.49999999999996</c:v>
                </c:pt>
                <c:pt idx="116">
                  <c:v>5.5999999999999597</c:v>
                </c:pt>
                <c:pt idx="117">
                  <c:v>5.6999999999999602</c:v>
                </c:pt>
                <c:pt idx="118">
                  <c:v>5.7999999999999599</c:v>
                </c:pt>
                <c:pt idx="119">
                  <c:v>5.8999999999999604</c:v>
                </c:pt>
                <c:pt idx="120">
                  <c:v>5.99999999999996</c:v>
                </c:pt>
              </c:numCache>
            </c:numRef>
          </c:xVal>
          <c:yVal>
            <c:numRef>
              <c:f>Scored!$C$2:$C$122</c:f>
              <c:numCache>
                <c:formatCode>General</c:formatCode>
                <c:ptCount val="121"/>
                <c:pt idx="0">
                  <c:v>0.79384729929479336</c:v>
                </c:pt>
                <c:pt idx="1">
                  <c:v>0.7932727455472296</c:v>
                </c:pt>
                <c:pt idx="2">
                  <c:v>0.79264503570616951</c:v>
                </c:pt>
                <c:pt idx="3">
                  <c:v>0.79195934889322106</c:v>
                </c:pt>
                <c:pt idx="4">
                  <c:v>0.79121044589552547</c:v>
                </c:pt>
                <c:pt idx="5">
                  <c:v>0.79039263655205805</c:v>
                </c:pt>
                <c:pt idx="6">
                  <c:v>0.78949974533031775</c:v>
                </c:pt>
                <c:pt idx="7">
                  <c:v>0.78852507514920955</c:v>
                </c:pt>
                <c:pt idx="8">
                  <c:v>0.78746136954716117</c:v>
                </c:pt>
                <c:pt idx="9">
                  <c:v>0.78630077334741777</c:v>
                </c:pt>
                <c:pt idx="10">
                  <c:v>0.78503479203651627</c:v>
                </c:pt>
                <c:pt idx="11">
                  <c:v>0.78365425014875756</c:v>
                </c:pt>
                <c:pt idx="12">
                  <c:v>0.78214924904077421</c:v>
                </c:pt>
                <c:pt idx="13">
                  <c:v>0.78050912454777777</c:v>
                </c:pt>
                <c:pt idx="14">
                  <c:v>0.77872240513850732</c:v>
                </c:pt>
                <c:pt idx="15">
                  <c:v>0.77677677133092737</c:v>
                </c:pt>
                <c:pt idx="16">
                  <c:v>0.7746590172967549</c:v>
                </c:pt>
                <c:pt idx="17">
                  <c:v>0.77235501577097876</c:v>
                </c:pt>
                <c:pt idx="18">
                  <c:v>0.76984968759311523</c:v>
                </c:pt>
                <c:pt idx="19">
                  <c:v>0.76712697743962799</c:v>
                </c:pt>
                <c:pt idx="20">
                  <c:v>0.76416983756017065</c:v>
                </c:pt>
                <c:pt idx="21">
                  <c:v>0.76096022160096</c:v>
                </c:pt>
                <c:pt idx="22">
                  <c:v>0.75747909088154897</c:v>
                </c:pt>
                <c:pt idx="23">
                  <c:v>0.75370643577891117</c:v>
                </c:pt>
                <c:pt idx="24">
                  <c:v>0.74962131515440278</c:v>
                </c:pt>
                <c:pt idx="25">
                  <c:v>0.74520191702053951</c:v>
                </c:pt>
                <c:pt idx="26">
                  <c:v>0.74042564386717802</c:v>
                </c:pt>
                <c:pt idx="27">
                  <c:v>0.73526922622762825</c:v>
                </c:pt>
                <c:pt idx="28">
                  <c:v>0.72970886813655955</c:v>
                </c:pt>
                <c:pt idx="29">
                  <c:v>0.72372042808071302</c:v>
                </c:pt>
                <c:pt idx="30">
                  <c:v>0.71727963883340096</c:v>
                </c:pt>
                <c:pt idx="31">
                  <c:v>0.71036236915440842</c:v>
                </c:pt>
                <c:pt idx="32">
                  <c:v>0.70294492968661126</c:v>
                </c:pt>
                <c:pt idx="33">
                  <c:v>0.6950044244491822</c:v>
                </c:pt>
                <c:pt idx="34">
                  <c:v>0.68651914807961067</c:v>
                </c:pt>
                <c:pt idx="35">
                  <c:v>0.67746902738793202</c:v>
                </c:pt>
                <c:pt idx="36">
                  <c:v>0.66783610384750935</c:v>
                </c:pt>
                <c:pt idx="37">
                  <c:v>0.65760505137100389</c:v>
                </c:pt>
                <c:pt idx="38">
                  <c:v>0.64676372115082703</c:v>
                </c:pt>
                <c:pt idx="39">
                  <c:v>0.63530370255924329</c:v>
                </c:pt>
                <c:pt idx="40">
                  <c:v>0.62322088622385097</c:v>
                </c:pt>
                <c:pt idx="41">
                  <c:v>0.61051601258148569</c:v>
                </c:pt>
                <c:pt idx="42">
                  <c:v>0.59719518667013105</c:v>
                </c:pt>
                <c:pt idx="43">
                  <c:v>0.5832703378794466</c:v>
                </c:pt>
                <c:pt idx="44">
                  <c:v>0.56875960210000465</c:v>
                </c:pt>
                <c:pt idx="45">
                  <c:v>0.55368760344143197</c:v>
                </c:pt>
                <c:pt idx="46">
                  <c:v>0.53808561365420993</c:v>
                </c:pt>
                <c:pt idx="47">
                  <c:v>0.52199156975419725</c:v>
                </c:pt>
                <c:pt idx="48">
                  <c:v>0.50544993418888295</c:v>
                </c:pt>
                <c:pt idx="49">
                  <c:v>0.48851138715937925</c:v>
                </c:pt>
                <c:pt idx="50">
                  <c:v>0.47123234724693375</c:v>
                </c:pt>
                <c:pt idx="51">
                  <c:v>0.45367432397236529</c:v>
                </c:pt>
                <c:pt idx="52">
                  <c:v>0.43590311389886582</c:v>
                </c:pt>
                <c:pt idx="53">
                  <c:v>0.41798785983344366</c:v>
                </c:pt>
                <c:pt idx="54">
                  <c:v>0.40000000000000346</c:v>
                </c:pt>
                <c:pt idx="55">
                  <c:v>0.38201214016656349</c:v>
                </c:pt>
                <c:pt idx="56">
                  <c:v>0.36409688610113955</c:v>
                </c:pt>
                <c:pt idx="57">
                  <c:v>0.34632567602764008</c:v>
                </c:pt>
                <c:pt idx="58">
                  <c:v>0.3287676527530714</c:v>
                </c:pt>
                <c:pt idx="59">
                  <c:v>0.31148861284062579</c:v>
                </c:pt>
                <c:pt idx="60">
                  <c:v>0.29455006581112197</c:v>
                </c:pt>
                <c:pt idx="61">
                  <c:v>0.27800843024580768</c:v>
                </c:pt>
                <c:pt idx="62">
                  <c:v>0.26191438634579467</c:v>
                </c:pt>
                <c:pt idx="63">
                  <c:v>0.24631239655857251</c:v>
                </c:pt>
                <c:pt idx="64">
                  <c:v>0.23124039789999973</c:v>
                </c:pt>
                <c:pt idx="65">
                  <c:v>0.21672966212055766</c:v>
                </c:pt>
                <c:pt idx="66">
                  <c:v>0.20280481332987299</c:v>
                </c:pt>
                <c:pt idx="67">
                  <c:v>0.18948398741851813</c:v>
                </c:pt>
                <c:pt idx="68">
                  <c:v>0.17677911377615274</c:v>
                </c:pt>
                <c:pt idx="69">
                  <c:v>0.1646962974407602</c:v>
                </c:pt>
                <c:pt idx="70">
                  <c:v>0.15323627884917612</c:v>
                </c:pt>
                <c:pt idx="71">
                  <c:v>0.14239494862899926</c:v>
                </c:pt>
                <c:pt idx="72">
                  <c:v>0.13216389615249358</c:v>
                </c:pt>
                <c:pt idx="73">
                  <c:v>0.12253097261207069</c:v>
                </c:pt>
                <c:pt idx="74">
                  <c:v>0.11348085192039203</c:v>
                </c:pt>
                <c:pt idx="75">
                  <c:v>0.10499557555082029</c:v>
                </c:pt>
                <c:pt idx="76">
                  <c:v>9.7055070313390779E-2</c:v>
                </c:pt>
                <c:pt idx="77">
                  <c:v>8.963763084559373E-2</c:v>
                </c:pt>
                <c:pt idx="78">
                  <c:v>8.2720361166600975E-2</c:v>
                </c:pt>
                <c:pt idx="79">
                  <c:v>7.6279571919288802E-2</c:v>
                </c:pt>
                <c:pt idx="80">
                  <c:v>7.0291131863442047E-2</c:v>
                </c:pt>
                <c:pt idx="81">
                  <c:v>6.4730773772373684E-2</c:v>
                </c:pt>
                <c:pt idx="82">
                  <c:v>5.9574356132823914E-2</c:v>
                </c:pt>
                <c:pt idx="83">
                  <c:v>5.4798082979462093E-2</c:v>
                </c:pt>
                <c:pt idx="84">
                  <c:v>5.0378684845598265E-2</c:v>
                </c:pt>
                <c:pt idx="85">
                  <c:v>4.6293564221089989E-2</c:v>
                </c:pt>
                <c:pt idx="86">
                  <c:v>4.2520909118451966E-2</c:v>
                </c:pt>
                <c:pt idx="87">
                  <c:v>3.9039778399040825E-2</c:v>
                </c:pt>
                <c:pt idx="88">
                  <c:v>3.5830162439830282E-2</c:v>
                </c:pt>
                <c:pt idx="89">
                  <c:v>3.2873022560372833E-2</c:v>
                </c:pt>
                <c:pt idx="90">
                  <c:v>3.0150312406885371E-2</c:v>
                </c:pt>
                <c:pt idx="91">
                  <c:v>2.7644984229021841E-2</c:v>
                </c:pt>
                <c:pt idx="92">
                  <c:v>2.5340982703245585E-2</c:v>
                </c:pt>
                <c:pt idx="93">
                  <c:v>2.3223228669073226E-2</c:v>
                </c:pt>
                <c:pt idx="94">
                  <c:v>2.1277594861493165E-2</c:v>
                </c:pt>
                <c:pt idx="95">
                  <c:v>1.9490875452222722E-2</c:v>
                </c:pt>
                <c:pt idx="96">
                  <c:v>1.7850750959226058E-2</c:v>
                </c:pt>
                <c:pt idx="97">
                  <c:v>1.634574985124293E-2</c:v>
                </c:pt>
                <c:pt idx="98">
                  <c:v>1.4965207963484106E-2</c:v>
                </c:pt>
                <c:pt idx="99">
                  <c:v>1.3699226652582386E-2</c:v>
                </c:pt>
                <c:pt idx="100">
                  <c:v>1.2538630452839206E-2</c:v>
                </c:pt>
                <c:pt idx="101">
                  <c:v>1.1474924850790824E-2</c:v>
                </c:pt>
                <c:pt idx="102">
                  <c:v>1.0500254669682407E-2</c:v>
                </c:pt>
                <c:pt idx="103">
                  <c:v>9.6073634479421077E-3</c:v>
                </c:pt>
                <c:pt idx="104">
                  <c:v>8.7895541044749059E-3</c:v>
                </c:pt>
                <c:pt idx="105">
                  <c:v>8.0406511067792064E-3</c:v>
                </c:pt>
                <c:pt idx="106">
                  <c:v>7.3549642938306459E-3</c:v>
                </c:pt>
                <c:pt idx="107">
                  <c:v>6.7272544527705591E-3</c:v>
                </c:pt>
                <c:pt idx="108">
                  <c:v>6.1527007052066818E-3</c:v>
                </c:pt>
                <c:pt idx="109">
                  <c:v>5.6268697239962862E-3</c:v>
                </c:pt>
                <c:pt idx="110">
                  <c:v>5.1456867735351075E-3</c:v>
                </c:pt>
                <c:pt idx="111">
                  <c:v>4.7054085447373328E-3</c:v>
                </c:pt>
                <c:pt idx="112">
                  <c:v>4.3025977390789283E-3</c:v>
                </c:pt>
                <c:pt idx="113">
                  <c:v>3.9340993434884286E-3</c:v>
                </c:pt>
                <c:pt idx="114">
                  <c:v>3.5970185287530487E-3</c:v>
                </c:pt>
                <c:pt idx="115">
                  <c:v>3.2887000978645275E-3</c:v>
                </c:pt>
                <c:pt idx="116">
                  <c:v>3.0067094068007005E-3</c:v>
                </c:pt>
                <c:pt idx="117">
                  <c:v>2.7488146782030931E-3</c:v>
                </c:pt>
                <c:pt idx="118">
                  <c:v>2.5129706278637087E-3</c:v>
                </c:pt>
                <c:pt idx="119">
                  <c:v>2.2973033245603514E-3</c:v>
                </c:pt>
                <c:pt idx="120">
                  <c:v>2.1000962053283612E-3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BC-42F8-83BA-6F5D62E5B74A}"/>
            </c:ext>
          </c:extLst>
        </c:ser>
        <c:ser>
          <c:idx val="2"/>
          <c:order val="2"/>
          <c:tx>
            <c:strRef>
              <c:f>Scored!$D$1</c:f>
              <c:strCache>
                <c:ptCount val="1"/>
                <c:pt idx="0">
                  <c:v>X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Scored!$A$2:$A$122</c:f>
              <c:numCache>
                <c:formatCode>0.00</c:formatCode>
                <c:ptCount val="121"/>
                <c:pt idx="0">
                  <c:v>-6</c:v>
                </c:pt>
                <c:pt idx="1">
                  <c:v>-5.9</c:v>
                </c:pt>
                <c:pt idx="2">
                  <c:v>-5.8</c:v>
                </c:pt>
                <c:pt idx="3">
                  <c:v>-5.7</c:v>
                </c:pt>
                <c:pt idx="4">
                  <c:v>-5.6</c:v>
                </c:pt>
                <c:pt idx="5">
                  <c:v>-5.5</c:v>
                </c:pt>
                <c:pt idx="6">
                  <c:v>-5.4</c:v>
                </c:pt>
                <c:pt idx="7">
                  <c:v>-5.3</c:v>
                </c:pt>
                <c:pt idx="8">
                  <c:v>-5.2</c:v>
                </c:pt>
                <c:pt idx="9">
                  <c:v>-5.0999999999999996</c:v>
                </c:pt>
                <c:pt idx="10">
                  <c:v>-5</c:v>
                </c:pt>
                <c:pt idx="11">
                  <c:v>-4.9000000000000004</c:v>
                </c:pt>
                <c:pt idx="12">
                  <c:v>-4.8</c:v>
                </c:pt>
                <c:pt idx="13">
                  <c:v>-4.7</c:v>
                </c:pt>
                <c:pt idx="14">
                  <c:v>-4.5999999999999996</c:v>
                </c:pt>
                <c:pt idx="15">
                  <c:v>-4.5</c:v>
                </c:pt>
                <c:pt idx="16">
                  <c:v>-4.4000000000000004</c:v>
                </c:pt>
                <c:pt idx="17">
                  <c:v>-4.3</c:v>
                </c:pt>
                <c:pt idx="18">
                  <c:v>-4.2</c:v>
                </c:pt>
                <c:pt idx="19">
                  <c:v>-4.0999999999999996</c:v>
                </c:pt>
                <c:pt idx="20">
                  <c:v>-4</c:v>
                </c:pt>
                <c:pt idx="21">
                  <c:v>-3.9</c:v>
                </c:pt>
                <c:pt idx="22">
                  <c:v>-3.8</c:v>
                </c:pt>
                <c:pt idx="23">
                  <c:v>-3.7</c:v>
                </c:pt>
                <c:pt idx="24">
                  <c:v>-3.6</c:v>
                </c:pt>
                <c:pt idx="25">
                  <c:v>-3.5000000000000102</c:v>
                </c:pt>
                <c:pt idx="26">
                  <c:v>-3.4000000000000101</c:v>
                </c:pt>
                <c:pt idx="27">
                  <c:v>-3.30000000000001</c:v>
                </c:pt>
                <c:pt idx="28">
                  <c:v>-3.2000000000000099</c:v>
                </c:pt>
                <c:pt idx="29">
                  <c:v>-3.1000000000000099</c:v>
                </c:pt>
                <c:pt idx="30">
                  <c:v>-3.0000000000000102</c:v>
                </c:pt>
                <c:pt idx="31">
                  <c:v>-2.9000000000000101</c:v>
                </c:pt>
                <c:pt idx="32">
                  <c:v>-2.80000000000001</c:v>
                </c:pt>
                <c:pt idx="33">
                  <c:v>-2.7000000000000099</c:v>
                </c:pt>
                <c:pt idx="34">
                  <c:v>-2.6000000000000099</c:v>
                </c:pt>
                <c:pt idx="35">
                  <c:v>-2.5000000000000102</c:v>
                </c:pt>
                <c:pt idx="36">
                  <c:v>-2.4000000000000101</c:v>
                </c:pt>
                <c:pt idx="37">
                  <c:v>-2.30000000000001</c:v>
                </c:pt>
                <c:pt idx="38">
                  <c:v>-2.2000000000000099</c:v>
                </c:pt>
                <c:pt idx="39">
                  <c:v>-2.1000000000000099</c:v>
                </c:pt>
                <c:pt idx="40">
                  <c:v>-2.0000000000000102</c:v>
                </c:pt>
                <c:pt idx="41">
                  <c:v>-1.9000000000000099</c:v>
                </c:pt>
                <c:pt idx="42">
                  <c:v>-1.80000000000001</c:v>
                </c:pt>
                <c:pt idx="43">
                  <c:v>-1.7000000000000099</c:v>
                </c:pt>
                <c:pt idx="44">
                  <c:v>-1.6000000000000101</c:v>
                </c:pt>
                <c:pt idx="45">
                  <c:v>-1.50000000000001</c:v>
                </c:pt>
                <c:pt idx="46">
                  <c:v>-1.4000000000000099</c:v>
                </c:pt>
                <c:pt idx="47">
                  <c:v>-1.30000000000001</c:v>
                </c:pt>
                <c:pt idx="48">
                  <c:v>-1.2000000000000099</c:v>
                </c:pt>
                <c:pt idx="49">
                  <c:v>-1.1000000000000101</c:v>
                </c:pt>
                <c:pt idx="50">
                  <c:v>-1.00000000000001</c:v>
                </c:pt>
                <c:pt idx="51">
                  <c:v>-0.90000000000001001</c:v>
                </c:pt>
                <c:pt idx="52">
                  <c:v>-0.80000000000001004</c:v>
                </c:pt>
                <c:pt idx="53">
                  <c:v>-0.70000000000002005</c:v>
                </c:pt>
                <c:pt idx="54">
                  <c:v>-0.60000000000001996</c:v>
                </c:pt>
                <c:pt idx="55">
                  <c:v>-0.50000000000001998</c:v>
                </c:pt>
                <c:pt idx="56">
                  <c:v>-0.40000000000002001</c:v>
                </c:pt>
                <c:pt idx="57">
                  <c:v>-0.30000000000001997</c:v>
                </c:pt>
                <c:pt idx="58">
                  <c:v>-0.20000000000002</c:v>
                </c:pt>
                <c:pt idx="59">
                  <c:v>-0.10000000000002</c:v>
                </c:pt>
                <c:pt idx="60">
                  <c:v>-2.0428103653102899E-14</c:v>
                </c:pt>
                <c:pt idx="61">
                  <c:v>9.9999999999980105E-2</c:v>
                </c:pt>
                <c:pt idx="62">
                  <c:v>0.19999999999998</c:v>
                </c:pt>
                <c:pt idx="63">
                  <c:v>0.29999999999998</c:v>
                </c:pt>
                <c:pt idx="64">
                  <c:v>0.39999999999997998</c:v>
                </c:pt>
                <c:pt idx="65">
                  <c:v>0.49999999999998002</c:v>
                </c:pt>
                <c:pt idx="66">
                  <c:v>0.59999999999997999</c:v>
                </c:pt>
                <c:pt idx="67">
                  <c:v>0.69999999999997997</c:v>
                </c:pt>
                <c:pt idx="68">
                  <c:v>0.79999999999997995</c:v>
                </c:pt>
                <c:pt idx="69">
                  <c:v>0.89999999999998004</c:v>
                </c:pt>
                <c:pt idx="70">
                  <c:v>0.99999999999998002</c:v>
                </c:pt>
                <c:pt idx="71">
                  <c:v>1.0999999999999801</c:v>
                </c:pt>
                <c:pt idx="72">
                  <c:v>1.19999999999998</c:v>
                </c:pt>
                <c:pt idx="73">
                  <c:v>1.2999999999999801</c:v>
                </c:pt>
                <c:pt idx="74">
                  <c:v>1.3999999999999799</c:v>
                </c:pt>
                <c:pt idx="75">
                  <c:v>1.49999999999998</c:v>
                </c:pt>
                <c:pt idx="76">
                  <c:v>1.5999999999999801</c:v>
                </c:pt>
                <c:pt idx="77">
                  <c:v>1.69999999999998</c:v>
                </c:pt>
                <c:pt idx="78">
                  <c:v>1.7999999999999801</c:v>
                </c:pt>
                <c:pt idx="79">
                  <c:v>1.8999999999999799</c:v>
                </c:pt>
                <c:pt idx="80">
                  <c:v>1.99999999999998</c:v>
                </c:pt>
                <c:pt idx="81">
                  <c:v>2.0999999999999699</c:v>
                </c:pt>
                <c:pt idx="82">
                  <c:v>2.19999999999997</c:v>
                </c:pt>
                <c:pt idx="83">
                  <c:v>2.2999999999999701</c:v>
                </c:pt>
                <c:pt idx="84">
                  <c:v>2.3999999999999702</c:v>
                </c:pt>
                <c:pt idx="85">
                  <c:v>2.4999999999999698</c:v>
                </c:pt>
                <c:pt idx="86">
                  <c:v>2.5999999999999699</c:v>
                </c:pt>
                <c:pt idx="87">
                  <c:v>2.69999999999997</c:v>
                </c:pt>
                <c:pt idx="88">
                  <c:v>2.7999999999999701</c:v>
                </c:pt>
                <c:pt idx="89">
                  <c:v>2.8999999999999702</c:v>
                </c:pt>
                <c:pt idx="90">
                  <c:v>2.9999999999999698</c:v>
                </c:pt>
                <c:pt idx="91">
                  <c:v>3.0999999999999699</c:v>
                </c:pt>
                <c:pt idx="92">
                  <c:v>3.19999999999997</c:v>
                </c:pt>
                <c:pt idx="93">
                  <c:v>3.2999999999999701</c:v>
                </c:pt>
                <c:pt idx="94">
                  <c:v>3.3999999999999702</c:v>
                </c:pt>
                <c:pt idx="95">
                  <c:v>3.4999999999999698</c:v>
                </c:pt>
                <c:pt idx="96">
                  <c:v>3.5999999999999699</c:v>
                </c:pt>
                <c:pt idx="97">
                  <c:v>3.69999999999997</c:v>
                </c:pt>
                <c:pt idx="98">
                  <c:v>3.7999999999999701</c:v>
                </c:pt>
                <c:pt idx="99">
                  <c:v>3.8999999999999702</c:v>
                </c:pt>
                <c:pt idx="100">
                  <c:v>3.9999999999999698</c:v>
                </c:pt>
                <c:pt idx="101">
                  <c:v>4.0999999999999703</c:v>
                </c:pt>
                <c:pt idx="102">
                  <c:v>4.19999999999997</c:v>
                </c:pt>
                <c:pt idx="103">
                  <c:v>4.2999999999999696</c:v>
                </c:pt>
                <c:pt idx="104">
                  <c:v>4.3999999999999702</c:v>
                </c:pt>
                <c:pt idx="105">
                  <c:v>4.4999999999999698</c:v>
                </c:pt>
                <c:pt idx="106">
                  <c:v>4.5999999999999703</c:v>
                </c:pt>
                <c:pt idx="107">
                  <c:v>4.69999999999997</c:v>
                </c:pt>
                <c:pt idx="108">
                  <c:v>4.7999999999999696</c:v>
                </c:pt>
                <c:pt idx="109">
                  <c:v>4.8999999999999604</c:v>
                </c:pt>
                <c:pt idx="110">
                  <c:v>4.99999999999996</c:v>
                </c:pt>
                <c:pt idx="111">
                  <c:v>5.0999999999999597</c:v>
                </c:pt>
                <c:pt idx="112">
                  <c:v>5.1999999999999602</c:v>
                </c:pt>
                <c:pt idx="113">
                  <c:v>5.2999999999999599</c:v>
                </c:pt>
                <c:pt idx="114">
                  <c:v>5.3999999999999604</c:v>
                </c:pt>
                <c:pt idx="115">
                  <c:v>5.49999999999996</c:v>
                </c:pt>
                <c:pt idx="116">
                  <c:v>5.5999999999999597</c:v>
                </c:pt>
                <c:pt idx="117">
                  <c:v>5.6999999999999602</c:v>
                </c:pt>
                <c:pt idx="118">
                  <c:v>5.7999999999999599</c:v>
                </c:pt>
                <c:pt idx="119">
                  <c:v>5.8999999999999604</c:v>
                </c:pt>
                <c:pt idx="120">
                  <c:v>5.99999999999996</c:v>
                </c:pt>
              </c:numCache>
            </c:numRef>
          </c:xVal>
          <c:yVal>
            <c:numRef>
              <c:f>Scored!$D$2:$D$122</c:f>
              <c:numCache>
                <c:formatCode>General</c:formatCode>
                <c:ptCount val="121"/>
                <c:pt idx="0">
                  <c:v>0.10001835917855194</c:v>
                </c:pt>
                <c:pt idx="1">
                  <c:v>0.10002197983890894</c:v>
                </c:pt>
                <c:pt idx="2">
                  <c:v>0.10002631451803783</c:v>
                </c:pt>
                <c:pt idx="3">
                  <c:v>0.1000315040162351</c:v>
                </c:pt>
                <c:pt idx="4">
                  <c:v>0.10003771689486662</c:v>
                </c:pt>
                <c:pt idx="5">
                  <c:v>0.10004515494821539</c:v>
                </c:pt>
                <c:pt idx="6">
                  <c:v>0.1000540597531227</c:v>
                </c:pt>
                <c:pt idx="7">
                  <c:v>0.10006472050839665</c:v>
                </c:pt>
                <c:pt idx="8">
                  <c:v>0.10007748341751481</c:v>
                </c:pt>
                <c:pt idx="9">
                  <c:v>0.10009276291778371</c:v>
                </c:pt>
                <c:pt idx="10">
                  <c:v>0.10011105511838761</c:v>
                </c:pt>
                <c:pt idx="11">
                  <c:v>0.10013295388049101</c:v>
                </c:pt>
                <c:pt idx="12">
                  <c:v>0.10015917005692002</c:v>
                </c:pt>
                <c:pt idx="13">
                  <c:v>0.10019055450948322</c:v>
                </c:pt>
                <c:pt idx="14">
                  <c:v>0.10022812564169481</c:v>
                </c:pt>
                <c:pt idx="15">
                  <c:v>0.10027310232702603</c:v>
                </c:pt>
                <c:pt idx="16">
                  <c:v>0.10032694328189627</c:v>
                </c:pt>
                <c:pt idx="17">
                  <c:v>0.10039139413310889</c:v>
                </c:pt>
                <c:pt idx="18">
                  <c:v>0.10046854366669986</c:v>
                </c:pt>
                <c:pt idx="19">
                  <c:v>0.10056089102525921</c:v>
                </c:pt>
                <c:pt idx="20">
                  <c:v>0.10067142595045303</c:v>
                </c:pt>
                <c:pt idx="21">
                  <c:v>0.10080372455406836</c:v>
                </c:pt>
                <c:pt idx="22">
                  <c:v>0.10096206355219778</c:v>
                </c:pt>
                <c:pt idx="23">
                  <c:v>0.10115155642101671</c:v>
                </c:pt>
                <c:pt idx="24">
                  <c:v>0.10137831553630296</c:v>
                </c:pt>
                <c:pt idx="25">
                  <c:v>0.1016496450482435</c:v>
                </c:pt>
                <c:pt idx="26">
                  <c:v>0.10197427002103784</c:v>
                </c:pt>
                <c:pt idx="27">
                  <c:v>0.10236260823099413</c:v>
                </c:pt>
                <c:pt idx="28">
                  <c:v>0.10282709195634644</c:v>
                </c:pt>
                <c:pt idx="29">
                  <c:v>0.10338254808265067</c:v>
                </c:pt>
                <c:pt idx="30">
                  <c:v>0.10404664584484699</c:v>
                </c:pt>
                <c:pt idx="31">
                  <c:v>0.10484042245646366</c:v>
                </c:pt>
                <c:pt idx="32">
                  <c:v>0.10578889762022667</c:v>
                </c:pt>
                <c:pt idx="33">
                  <c:v>0.10692178829335738</c:v>
                </c:pt>
                <c:pt idx="34">
                  <c:v>0.10827433483055915</c:v>
                </c:pt>
                <c:pt idx="35">
                  <c:v>0.10988824836753369</c:v>
                </c:pt>
                <c:pt idx="36">
                  <c:v>0.11181278650339231</c:v>
                </c:pt>
                <c:pt idx="37">
                  <c:v>0.11410595925944346</c:v>
                </c:pt>
                <c:pt idx="38">
                  <c:v>0.11683585895891885</c:v>
                </c:pt>
                <c:pt idx="39">
                  <c:v>0.12008209482912867</c:v>
                </c:pt>
                <c:pt idx="40">
                  <c:v>0.12393729421917885</c:v>
                </c:pt>
                <c:pt idx="41">
                  <c:v>0.12850860554115029</c:v>
                </c:pt>
                <c:pt idx="42">
                  <c:v>0.13391910145774474</c:v>
                </c:pt>
                <c:pt idx="43">
                  <c:v>0.14030893274480738</c:v>
                </c:pt>
                <c:pt idx="44">
                  <c:v>0.14783602275825652</c:v>
                </c:pt>
                <c:pt idx="45">
                  <c:v>0.15667602045129589</c:v>
                </c:pt>
                <c:pt idx="46">
                  <c:v>0.16702115064942419</c:v>
                </c:pt>
                <c:pt idx="47">
                  <c:v>0.17907752334636981</c:v>
                </c:pt>
                <c:pt idx="48">
                  <c:v>0.19306040631242313</c:v>
                </c:pt>
                <c:pt idx="49">
                  <c:v>0.20918695410256144</c:v>
                </c:pt>
                <c:pt idx="50">
                  <c:v>0.22766595841043705</c:v>
                </c:pt>
                <c:pt idx="51">
                  <c:v>0.24868438317155092</c:v>
                </c:pt>
                <c:pt idx="52">
                  <c:v>0.27239081370531826</c:v>
                </c:pt>
                <c:pt idx="53">
                  <c:v>0.29887650299816348</c:v>
                </c:pt>
                <c:pt idx="54">
                  <c:v>0.3281554149960979</c:v>
                </c:pt>
                <c:pt idx="55">
                  <c:v>0.36014544763748979</c:v>
                </c:pt>
                <c:pt idx="56">
                  <c:v>0.39465368463900852</c:v>
                </c:pt>
                <c:pt idx="57">
                  <c:v>0.43136882403750099</c:v>
                </c:pt>
                <c:pt idx="58">
                  <c:v>0.46986360934719362</c:v>
                </c:pt>
                <c:pt idx="59">
                  <c:v>0.50960899686376993</c:v>
                </c:pt>
                <c:pt idx="60">
                  <c:v>0.54999999999999172</c:v>
                </c:pt>
                <c:pt idx="61">
                  <c:v>0.59039100313621407</c:v>
                </c:pt>
                <c:pt idx="62">
                  <c:v>0.6301363906527907</c:v>
                </c:pt>
                <c:pt idx="63">
                  <c:v>0.668631175962484</c:v>
                </c:pt>
                <c:pt idx="64">
                  <c:v>0.70534631536097725</c:v>
                </c:pt>
                <c:pt idx="65">
                  <c:v>0.73985455236249698</c:v>
                </c:pt>
                <c:pt idx="66">
                  <c:v>0.77184458500388986</c:v>
                </c:pt>
                <c:pt idx="67">
                  <c:v>0.8011234970018255</c:v>
                </c:pt>
                <c:pt idx="68">
                  <c:v>0.82760918629467417</c:v>
                </c:pt>
                <c:pt idx="69">
                  <c:v>0.85131561682844237</c:v>
                </c:pt>
                <c:pt idx="70">
                  <c:v>0.87233404158955707</c:v>
                </c:pt>
                <c:pt idx="71">
                  <c:v>0.89081304589743338</c:v>
                </c:pt>
                <c:pt idx="72">
                  <c:v>0.90693959368757249</c:v>
                </c:pt>
                <c:pt idx="73">
                  <c:v>0.92092247665362625</c:v>
                </c:pt>
                <c:pt idx="74">
                  <c:v>0.93297884935057251</c:v>
                </c:pt>
                <c:pt idx="75">
                  <c:v>0.94332397954870129</c:v>
                </c:pt>
                <c:pt idx="76">
                  <c:v>0.95216397724174096</c:v>
                </c:pt>
                <c:pt idx="77">
                  <c:v>0.9596910672551906</c:v>
                </c:pt>
                <c:pt idx="78">
                  <c:v>0.96608089854225343</c:v>
                </c:pt>
                <c:pt idx="79">
                  <c:v>0.97149139445884813</c:v>
                </c:pt>
                <c:pt idx="80">
                  <c:v>0.97606270578081988</c:v>
                </c:pt>
                <c:pt idx="81">
                  <c:v>0.97991790517086996</c:v>
                </c:pt>
                <c:pt idx="82">
                  <c:v>0.98316414104107996</c:v>
                </c:pt>
                <c:pt idx="83">
                  <c:v>0.98589404074055564</c:v>
                </c:pt>
                <c:pt idx="84">
                  <c:v>0.98818721349660688</c:v>
                </c:pt>
                <c:pt idx="85">
                  <c:v>0.99011175163246556</c:v>
                </c:pt>
                <c:pt idx="86">
                  <c:v>0.99172566516944016</c:v>
                </c:pt>
                <c:pt idx="87">
                  <c:v>0.99307821170664212</c:v>
                </c:pt>
                <c:pt idx="88">
                  <c:v>0.99421110237977295</c:v>
                </c:pt>
                <c:pt idx="89">
                  <c:v>0.99515957754353612</c:v>
                </c:pt>
                <c:pt idx="90">
                  <c:v>0.99595335415515274</c:v>
                </c:pt>
                <c:pt idx="91">
                  <c:v>0.99661745191734918</c:v>
                </c:pt>
                <c:pt idx="92">
                  <c:v>0.99717290804365333</c:v>
                </c:pt>
                <c:pt idx="93">
                  <c:v>0.99763739176900568</c:v>
                </c:pt>
                <c:pt idx="94">
                  <c:v>0.99802572997896211</c:v>
                </c:pt>
                <c:pt idx="95">
                  <c:v>0.9983503549517565</c:v>
                </c:pt>
                <c:pt idx="96">
                  <c:v>0.99862168446369692</c:v>
                </c:pt>
                <c:pt idx="97">
                  <c:v>0.99884844357898317</c:v>
                </c:pt>
                <c:pt idx="98">
                  <c:v>0.99903793644780214</c:v>
                </c:pt>
                <c:pt idx="99">
                  <c:v>0.99919627544593159</c:v>
                </c:pt>
                <c:pt idx="100">
                  <c:v>0.999328574049547</c:v>
                </c:pt>
                <c:pt idx="101">
                  <c:v>0.99943910897474075</c:v>
                </c:pt>
                <c:pt idx="102">
                  <c:v>0.99953145633330021</c:v>
                </c:pt>
                <c:pt idx="103">
                  <c:v>0.99960860586689115</c:v>
                </c:pt>
                <c:pt idx="104">
                  <c:v>0.99967305671810369</c:v>
                </c:pt>
                <c:pt idx="105">
                  <c:v>0.99972689767297407</c:v>
                </c:pt>
                <c:pt idx="106">
                  <c:v>0.99977187435830517</c:v>
                </c:pt>
                <c:pt idx="107">
                  <c:v>0.99980944549051687</c:v>
                </c:pt>
                <c:pt idx="108">
                  <c:v>0.9998408299430801</c:v>
                </c:pt>
                <c:pt idx="109">
                  <c:v>0.99986704611950894</c:v>
                </c:pt>
                <c:pt idx="110">
                  <c:v>0.99988894488161228</c:v>
                </c:pt>
                <c:pt idx="111">
                  <c:v>0.99990723708221629</c:v>
                </c:pt>
                <c:pt idx="112">
                  <c:v>0.9999225165824851</c:v>
                </c:pt>
                <c:pt idx="113">
                  <c:v>0.99993527949160343</c:v>
                </c:pt>
                <c:pt idx="114">
                  <c:v>0.99994594024687722</c:v>
                </c:pt>
                <c:pt idx="115">
                  <c:v>0.99995484505178456</c:v>
                </c:pt>
                <c:pt idx="116">
                  <c:v>0.99996228310513335</c:v>
                </c:pt>
                <c:pt idx="117">
                  <c:v>0.99996849598376503</c:v>
                </c:pt>
                <c:pt idx="118">
                  <c:v>0.99997368548196219</c:v>
                </c:pt>
                <c:pt idx="119">
                  <c:v>0.99997802016109116</c:v>
                </c:pt>
                <c:pt idx="120">
                  <c:v>0.99998164082144814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BC-42F8-83BA-6F5D62E5B74A}"/>
            </c:ext>
          </c:extLst>
        </c:ser>
        <c:ser>
          <c:idx val="3"/>
          <c:order val="3"/>
          <c:tx>
            <c:strRef>
              <c:f>Scored!$E$1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Scored!$A$2:$A$122</c:f>
              <c:numCache>
                <c:formatCode>0.00</c:formatCode>
                <c:ptCount val="121"/>
                <c:pt idx="0">
                  <c:v>-6</c:v>
                </c:pt>
                <c:pt idx="1">
                  <c:v>-5.9</c:v>
                </c:pt>
                <c:pt idx="2">
                  <c:v>-5.8</c:v>
                </c:pt>
                <c:pt idx="3">
                  <c:v>-5.7</c:v>
                </c:pt>
                <c:pt idx="4">
                  <c:v>-5.6</c:v>
                </c:pt>
                <c:pt idx="5">
                  <c:v>-5.5</c:v>
                </c:pt>
                <c:pt idx="6">
                  <c:v>-5.4</c:v>
                </c:pt>
                <c:pt idx="7">
                  <c:v>-5.3</c:v>
                </c:pt>
                <c:pt idx="8">
                  <c:v>-5.2</c:v>
                </c:pt>
                <c:pt idx="9">
                  <c:v>-5.0999999999999996</c:v>
                </c:pt>
                <c:pt idx="10">
                  <c:v>-5</c:v>
                </c:pt>
                <c:pt idx="11">
                  <c:v>-4.9000000000000004</c:v>
                </c:pt>
                <c:pt idx="12">
                  <c:v>-4.8</c:v>
                </c:pt>
                <c:pt idx="13">
                  <c:v>-4.7</c:v>
                </c:pt>
                <c:pt idx="14">
                  <c:v>-4.5999999999999996</c:v>
                </c:pt>
                <c:pt idx="15">
                  <c:v>-4.5</c:v>
                </c:pt>
                <c:pt idx="16">
                  <c:v>-4.4000000000000004</c:v>
                </c:pt>
                <c:pt idx="17">
                  <c:v>-4.3</c:v>
                </c:pt>
                <c:pt idx="18">
                  <c:v>-4.2</c:v>
                </c:pt>
                <c:pt idx="19">
                  <c:v>-4.0999999999999996</c:v>
                </c:pt>
                <c:pt idx="20">
                  <c:v>-4</c:v>
                </c:pt>
                <c:pt idx="21">
                  <c:v>-3.9</c:v>
                </c:pt>
                <c:pt idx="22">
                  <c:v>-3.8</c:v>
                </c:pt>
                <c:pt idx="23">
                  <c:v>-3.7</c:v>
                </c:pt>
                <c:pt idx="24">
                  <c:v>-3.6</c:v>
                </c:pt>
                <c:pt idx="25">
                  <c:v>-3.5000000000000102</c:v>
                </c:pt>
                <c:pt idx="26">
                  <c:v>-3.4000000000000101</c:v>
                </c:pt>
                <c:pt idx="27">
                  <c:v>-3.30000000000001</c:v>
                </c:pt>
                <c:pt idx="28">
                  <c:v>-3.2000000000000099</c:v>
                </c:pt>
                <c:pt idx="29">
                  <c:v>-3.1000000000000099</c:v>
                </c:pt>
                <c:pt idx="30">
                  <c:v>-3.0000000000000102</c:v>
                </c:pt>
                <c:pt idx="31">
                  <c:v>-2.9000000000000101</c:v>
                </c:pt>
                <c:pt idx="32">
                  <c:v>-2.80000000000001</c:v>
                </c:pt>
                <c:pt idx="33">
                  <c:v>-2.7000000000000099</c:v>
                </c:pt>
                <c:pt idx="34">
                  <c:v>-2.6000000000000099</c:v>
                </c:pt>
                <c:pt idx="35">
                  <c:v>-2.5000000000000102</c:v>
                </c:pt>
                <c:pt idx="36">
                  <c:v>-2.4000000000000101</c:v>
                </c:pt>
                <c:pt idx="37">
                  <c:v>-2.30000000000001</c:v>
                </c:pt>
                <c:pt idx="38">
                  <c:v>-2.2000000000000099</c:v>
                </c:pt>
                <c:pt idx="39">
                  <c:v>-2.1000000000000099</c:v>
                </c:pt>
                <c:pt idx="40">
                  <c:v>-2.0000000000000102</c:v>
                </c:pt>
                <c:pt idx="41">
                  <c:v>-1.9000000000000099</c:v>
                </c:pt>
                <c:pt idx="42">
                  <c:v>-1.80000000000001</c:v>
                </c:pt>
                <c:pt idx="43">
                  <c:v>-1.7000000000000099</c:v>
                </c:pt>
                <c:pt idx="44">
                  <c:v>-1.6000000000000101</c:v>
                </c:pt>
                <c:pt idx="45">
                  <c:v>-1.50000000000001</c:v>
                </c:pt>
                <c:pt idx="46">
                  <c:v>-1.4000000000000099</c:v>
                </c:pt>
                <c:pt idx="47">
                  <c:v>-1.30000000000001</c:v>
                </c:pt>
                <c:pt idx="48">
                  <c:v>-1.2000000000000099</c:v>
                </c:pt>
                <c:pt idx="49">
                  <c:v>-1.1000000000000101</c:v>
                </c:pt>
                <c:pt idx="50">
                  <c:v>-1.00000000000001</c:v>
                </c:pt>
                <c:pt idx="51">
                  <c:v>-0.90000000000001001</c:v>
                </c:pt>
                <c:pt idx="52">
                  <c:v>-0.80000000000001004</c:v>
                </c:pt>
                <c:pt idx="53">
                  <c:v>-0.70000000000002005</c:v>
                </c:pt>
                <c:pt idx="54">
                  <c:v>-0.60000000000001996</c:v>
                </c:pt>
                <c:pt idx="55">
                  <c:v>-0.50000000000001998</c:v>
                </c:pt>
                <c:pt idx="56">
                  <c:v>-0.40000000000002001</c:v>
                </c:pt>
                <c:pt idx="57">
                  <c:v>-0.30000000000001997</c:v>
                </c:pt>
                <c:pt idx="58">
                  <c:v>-0.20000000000002</c:v>
                </c:pt>
                <c:pt idx="59">
                  <c:v>-0.10000000000002</c:v>
                </c:pt>
                <c:pt idx="60">
                  <c:v>-2.0428103653102899E-14</c:v>
                </c:pt>
                <c:pt idx="61">
                  <c:v>9.9999999999980105E-2</c:v>
                </c:pt>
                <c:pt idx="62">
                  <c:v>0.19999999999998</c:v>
                </c:pt>
                <c:pt idx="63">
                  <c:v>0.29999999999998</c:v>
                </c:pt>
                <c:pt idx="64">
                  <c:v>0.39999999999997998</c:v>
                </c:pt>
                <c:pt idx="65">
                  <c:v>0.49999999999998002</c:v>
                </c:pt>
                <c:pt idx="66">
                  <c:v>0.59999999999997999</c:v>
                </c:pt>
                <c:pt idx="67">
                  <c:v>0.69999999999997997</c:v>
                </c:pt>
                <c:pt idx="68">
                  <c:v>0.79999999999997995</c:v>
                </c:pt>
                <c:pt idx="69">
                  <c:v>0.89999999999998004</c:v>
                </c:pt>
                <c:pt idx="70">
                  <c:v>0.99999999999998002</c:v>
                </c:pt>
                <c:pt idx="71">
                  <c:v>1.0999999999999801</c:v>
                </c:pt>
                <c:pt idx="72">
                  <c:v>1.19999999999998</c:v>
                </c:pt>
                <c:pt idx="73">
                  <c:v>1.2999999999999801</c:v>
                </c:pt>
                <c:pt idx="74">
                  <c:v>1.3999999999999799</c:v>
                </c:pt>
                <c:pt idx="75">
                  <c:v>1.49999999999998</c:v>
                </c:pt>
                <c:pt idx="76">
                  <c:v>1.5999999999999801</c:v>
                </c:pt>
                <c:pt idx="77">
                  <c:v>1.69999999999998</c:v>
                </c:pt>
                <c:pt idx="78">
                  <c:v>1.7999999999999801</c:v>
                </c:pt>
                <c:pt idx="79">
                  <c:v>1.8999999999999799</c:v>
                </c:pt>
                <c:pt idx="80">
                  <c:v>1.99999999999998</c:v>
                </c:pt>
                <c:pt idx="81">
                  <c:v>2.0999999999999699</c:v>
                </c:pt>
                <c:pt idx="82">
                  <c:v>2.19999999999997</c:v>
                </c:pt>
                <c:pt idx="83">
                  <c:v>2.2999999999999701</c:v>
                </c:pt>
                <c:pt idx="84">
                  <c:v>2.3999999999999702</c:v>
                </c:pt>
                <c:pt idx="85">
                  <c:v>2.4999999999999698</c:v>
                </c:pt>
                <c:pt idx="86">
                  <c:v>2.5999999999999699</c:v>
                </c:pt>
                <c:pt idx="87">
                  <c:v>2.69999999999997</c:v>
                </c:pt>
                <c:pt idx="88">
                  <c:v>2.7999999999999701</c:v>
                </c:pt>
                <c:pt idx="89">
                  <c:v>2.8999999999999702</c:v>
                </c:pt>
                <c:pt idx="90">
                  <c:v>2.9999999999999698</c:v>
                </c:pt>
                <c:pt idx="91">
                  <c:v>3.0999999999999699</c:v>
                </c:pt>
                <c:pt idx="92">
                  <c:v>3.19999999999997</c:v>
                </c:pt>
                <c:pt idx="93">
                  <c:v>3.2999999999999701</c:v>
                </c:pt>
                <c:pt idx="94">
                  <c:v>3.3999999999999702</c:v>
                </c:pt>
                <c:pt idx="95">
                  <c:v>3.4999999999999698</c:v>
                </c:pt>
                <c:pt idx="96">
                  <c:v>3.5999999999999699</c:v>
                </c:pt>
                <c:pt idx="97">
                  <c:v>3.69999999999997</c:v>
                </c:pt>
                <c:pt idx="98">
                  <c:v>3.7999999999999701</c:v>
                </c:pt>
                <c:pt idx="99">
                  <c:v>3.8999999999999702</c:v>
                </c:pt>
                <c:pt idx="100">
                  <c:v>3.9999999999999698</c:v>
                </c:pt>
                <c:pt idx="101">
                  <c:v>4.0999999999999703</c:v>
                </c:pt>
                <c:pt idx="102">
                  <c:v>4.19999999999997</c:v>
                </c:pt>
                <c:pt idx="103">
                  <c:v>4.2999999999999696</c:v>
                </c:pt>
                <c:pt idx="104">
                  <c:v>4.3999999999999702</c:v>
                </c:pt>
                <c:pt idx="105">
                  <c:v>4.4999999999999698</c:v>
                </c:pt>
                <c:pt idx="106">
                  <c:v>4.5999999999999703</c:v>
                </c:pt>
                <c:pt idx="107">
                  <c:v>4.69999999999997</c:v>
                </c:pt>
                <c:pt idx="108">
                  <c:v>4.7999999999999696</c:v>
                </c:pt>
                <c:pt idx="109">
                  <c:v>4.8999999999999604</c:v>
                </c:pt>
                <c:pt idx="110">
                  <c:v>4.99999999999996</c:v>
                </c:pt>
                <c:pt idx="111">
                  <c:v>5.0999999999999597</c:v>
                </c:pt>
                <c:pt idx="112">
                  <c:v>5.1999999999999602</c:v>
                </c:pt>
                <c:pt idx="113">
                  <c:v>5.2999999999999599</c:v>
                </c:pt>
                <c:pt idx="114">
                  <c:v>5.3999999999999604</c:v>
                </c:pt>
                <c:pt idx="115">
                  <c:v>5.49999999999996</c:v>
                </c:pt>
                <c:pt idx="116">
                  <c:v>5.5999999999999597</c:v>
                </c:pt>
                <c:pt idx="117">
                  <c:v>5.6999999999999602</c:v>
                </c:pt>
                <c:pt idx="118">
                  <c:v>5.7999999999999599</c:v>
                </c:pt>
                <c:pt idx="119">
                  <c:v>5.8999999999999604</c:v>
                </c:pt>
                <c:pt idx="120">
                  <c:v>5.99999999999996</c:v>
                </c:pt>
              </c:numCache>
            </c:numRef>
          </c:xVal>
          <c:yVal>
            <c:numRef>
              <c:f>Scored!$E$2:$E$122</c:f>
              <c:numCache>
                <c:formatCode>General</c:formatCode>
                <c:ptCount val="121"/>
                <c:pt idx="0">
                  <c:v>0.79999918749564836</c:v>
                </c:pt>
                <c:pt idx="1">
                  <c:v>0.79999900760516707</c:v>
                </c:pt>
                <c:pt idx="2">
                  <c:v>0.79999878788654677</c:v>
                </c:pt>
                <c:pt idx="3">
                  <c:v>0.79999851952178169</c:v>
                </c:pt>
                <c:pt idx="4">
                  <c:v>0.79999819174056164</c:v>
                </c:pt>
                <c:pt idx="5">
                  <c:v>0.79999779138803984</c:v>
                </c:pt>
                <c:pt idx="6">
                  <c:v>0.79999730239690903</c:v>
                </c:pt>
                <c:pt idx="7">
                  <c:v>0.79999670514260413</c:v>
                </c:pt>
                <c:pt idx="8">
                  <c:v>0.79999597565575864</c:v>
                </c:pt>
                <c:pt idx="9">
                  <c:v>0.79999508466031821</c:v>
                </c:pt>
                <c:pt idx="10">
                  <c:v>0.79999399639872226</c:v>
                </c:pt>
                <c:pt idx="11">
                  <c:v>0.79999266719702411</c:v>
                </c:pt>
                <c:pt idx="12">
                  <c:v>0.79999104371239593</c:v>
                </c:pt>
                <c:pt idx="13">
                  <c:v>0.79998906079273224</c:v>
                </c:pt>
                <c:pt idx="14">
                  <c:v>0.79998663886252153</c:v>
                </c:pt>
                <c:pt idx="15">
                  <c:v>0.79998368073017612</c:v>
                </c:pt>
                <c:pt idx="16">
                  <c:v>0.79998006768884844</c:v>
                </c:pt>
                <c:pt idx="17">
                  <c:v>0.79997565475447951</c:v>
                </c:pt>
                <c:pt idx="18">
                  <c:v>0.79997026485031764</c:v>
                </c:pt>
                <c:pt idx="19">
                  <c:v>0.79996368170503807</c:v>
                </c:pt>
                <c:pt idx="20">
                  <c:v>0.79995564118022178</c:v>
                </c:pt>
                <c:pt idx="21">
                  <c:v>0.79994582068030418</c:v>
                </c:pt>
                <c:pt idx="22">
                  <c:v>0.7999338262217186</c:v>
                </c:pt>
                <c:pt idx="23">
                  <c:v>0.79991917664487378</c:v>
                </c:pt>
                <c:pt idx="24">
                  <c:v>0.79990128433921104</c:v>
                </c:pt>
                <c:pt idx="25">
                  <c:v>0.79987943171355225</c:v>
                </c:pt>
                <c:pt idx="26">
                  <c:v>0.79985274247602922</c:v>
                </c:pt>
                <c:pt idx="27">
                  <c:v>0.7998201465838134</c:v>
                </c:pt>
                <c:pt idx="28">
                  <c:v>0.7997803374751189</c:v>
                </c:pt>
                <c:pt idx="29">
                  <c:v>0.79973171989562686</c:v>
                </c:pt>
                <c:pt idx="30">
                  <c:v>0.79967234626801109</c:v>
                </c:pt>
                <c:pt idx="31">
                  <c:v>0.79959983911433641</c:v>
                </c:pt>
                <c:pt idx="32">
                  <c:v>0.79951129651245245</c:v>
                </c:pt>
                <c:pt idx="33">
                  <c:v>0.79940317693293061</c:v>
                </c:pt>
                <c:pt idx="34">
                  <c:v>0.79927115904447943</c:v>
                </c:pt>
                <c:pt idx="35">
                  <c:v>0.79910997117371174</c:v>
                </c:pt>
                <c:pt idx="36">
                  <c:v>0.79891318403965683</c:v>
                </c:pt>
                <c:pt idx="37">
                  <c:v>0.79867295913586045</c:v>
                </c:pt>
                <c:pt idx="38">
                  <c:v>0.79837974368876008</c:v>
                </c:pt>
                <c:pt idx="39">
                  <c:v>0.79802190147469221</c:v>
                </c:pt>
                <c:pt idx="40">
                  <c:v>0.79758526694023324</c:v>
                </c:pt>
                <c:pt idx="41">
                  <c:v>0.7970526080804512</c:v>
                </c:pt>
                <c:pt idx="42">
                  <c:v>0.79640298147124711</c:v>
                </c:pt>
                <c:pt idx="43">
                  <c:v>0.79561096088043981</c:v>
                </c:pt>
                <c:pt idx="44">
                  <c:v>0.79464571926057226</c:v>
                </c:pt>
                <c:pt idx="45">
                  <c:v>0.79346994307747221</c:v>
                </c:pt>
                <c:pt idx="46">
                  <c:v>0.79203855850647664</c:v>
                </c:pt>
                <c:pt idx="47">
                  <c:v>0.79029725201258083</c:v>
                </c:pt>
                <c:pt idx="48">
                  <c:v>0.78818077464538172</c:v>
                </c:pt>
                <c:pt idx="49">
                  <c:v>0.78561103203032701</c:v>
                </c:pt>
                <c:pt idx="50">
                  <c:v>0.7824949832510959</c:v>
                </c:pt>
                <c:pt idx="51">
                  <c:v>0.77872240513850777</c:v>
                </c:pt>
                <c:pt idx="52">
                  <c:v>0.77416362824124008</c:v>
                </c:pt>
                <c:pt idx="53">
                  <c:v>0.76866742176258973</c:v>
                </c:pt>
                <c:pt idx="54">
                  <c:v>0.76205930145794798</c:v>
                </c:pt>
                <c:pt idx="55">
                  <c:v>0.75414065928090668</c:v>
                </c:pt>
                <c:pt idx="56">
                  <c:v>0.74468926372532462</c:v>
                </c:pt>
                <c:pt idx="57">
                  <c:v>0.73346184280486448</c:v>
                </c:pt>
                <c:pt idx="58">
                  <c:v>0.72019960870425481</c:v>
                </c:pt>
                <c:pt idx="59">
                  <c:v>0.70463766238230929</c:v>
                </c:pt>
                <c:pt idx="60">
                  <c:v>0.68651914807961378</c:v>
                </c:pt>
                <c:pt idx="61">
                  <c:v>0.66561470810714396</c:v>
                </c:pt>
                <c:pt idx="62">
                  <c:v>0.64174711084687042</c:v>
                </c:pt>
                <c:pt idx="63">
                  <c:v>0.61481982679921976</c:v>
                </c:pt>
                <c:pt idx="64">
                  <c:v>0.58484686290401022</c:v>
                </c:pt>
                <c:pt idx="65">
                  <c:v>0.55197958490209675</c:v>
                </c:pt>
                <c:pt idx="66">
                  <c:v>0.51652504498064367</c:v>
                </c:pt>
                <c:pt idx="67">
                  <c:v>0.47895012808996928</c:v>
                </c:pt>
                <c:pt idx="68">
                  <c:v>0.43986719784999018</c:v>
                </c:pt>
                <c:pt idx="69">
                  <c:v>0.4000000000000079</c:v>
                </c:pt>
                <c:pt idx="70">
                  <c:v>0.36013280215002563</c:v>
                </c:pt>
                <c:pt idx="71">
                  <c:v>0.32104987191004608</c:v>
                </c:pt>
                <c:pt idx="72">
                  <c:v>0.28347495501937092</c:v>
                </c:pt>
                <c:pt idx="73">
                  <c:v>0.24802041509791684</c:v>
                </c:pt>
                <c:pt idx="74">
                  <c:v>0.21515313709600226</c:v>
                </c:pt>
                <c:pt idx="75">
                  <c:v>0.18518017320079161</c:v>
                </c:pt>
                <c:pt idx="76">
                  <c:v>0.15825288915313962</c:v>
                </c:pt>
                <c:pt idx="77">
                  <c:v>0.13438529189286474</c:v>
                </c:pt>
                <c:pt idx="78">
                  <c:v>0.11348085192039403</c:v>
                </c:pt>
                <c:pt idx="79">
                  <c:v>9.5362337617697301E-2</c:v>
                </c:pt>
                <c:pt idx="80">
                  <c:v>7.9800391295751005E-2</c:v>
                </c:pt>
                <c:pt idx="81">
                  <c:v>6.6538157195141556E-2</c:v>
                </c:pt>
                <c:pt idx="82">
                  <c:v>5.5310736274680528E-2</c:v>
                </c:pt>
                <c:pt idx="83">
                  <c:v>4.5859340719097474E-2</c:v>
                </c:pt>
                <c:pt idx="84">
                  <c:v>3.7940698542055618E-2</c:v>
                </c:pt>
                <c:pt idx="85">
                  <c:v>3.13325782374132E-2</c:v>
                </c:pt>
                <c:pt idx="86">
                  <c:v>2.5836371758761967E-2</c:v>
                </c:pt>
                <c:pt idx="87">
                  <c:v>2.1277594861493832E-2</c:v>
                </c:pt>
                <c:pt idx="88">
                  <c:v>1.7505016748905478E-2</c:v>
                </c:pt>
                <c:pt idx="89">
                  <c:v>1.4388967969674038E-2</c:v>
                </c:pt>
                <c:pt idx="90">
                  <c:v>1.181922535461899E-2</c:v>
                </c:pt>
                <c:pt idx="91">
                  <c:v>9.7027479874198796E-3</c:v>
                </c:pt>
                <c:pt idx="92">
                  <c:v>7.9614414935238464E-3</c:v>
                </c:pt>
                <c:pt idx="93">
                  <c:v>6.5300569225281713E-3</c:v>
                </c:pt>
                <c:pt idx="94">
                  <c:v>5.3542807394280079E-3</c:v>
                </c:pt>
                <c:pt idx="95">
                  <c:v>4.3890391195604561E-3</c:v>
                </c:pt>
                <c:pt idx="96">
                  <c:v>3.5970185287530487E-3</c:v>
                </c:pt>
                <c:pt idx="97">
                  <c:v>2.9473919195488474E-3</c:v>
                </c:pt>
                <c:pt idx="98">
                  <c:v>2.4147330597668049E-3</c:v>
                </c:pt>
                <c:pt idx="99">
                  <c:v>1.9780985253079475E-3</c:v>
                </c:pt>
                <c:pt idx="100">
                  <c:v>1.6202563112399648E-3</c:v>
                </c:pt>
                <c:pt idx="101">
                  <c:v>1.3270408641394837E-3</c:v>
                </c:pt>
                <c:pt idx="102">
                  <c:v>1.0868159603432126E-3</c:v>
                </c:pt>
                <c:pt idx="103">
                  <c:v>8.9002882628830271E-4</c:v>
                </c:pt>
                <c:pt idx="104">
                  <c:v>7.2884095552039341E-4</c:v>
                </c:pt>
                <c:pt idx="105">
                  <c:v>5.9682306706942967E-4</c:v>
                </c:pt>
                <c:pt idx="106">
                  <c:v>4.8870348754737059E-4</c:v>
                </c:pt>
                <c:pt idx="107">
                  <c:v>4.0016088566363628E-4</c:v>
                </c:pt>
                <c:pt idx="108">
                  <c:v>3.2765373198873071E-4</c:v>
                </c:pt>
                <c:pt idx="109">
                  <c:v>2.6828010437318639E-4</c:v>
                </c:pt>
                <c:pt idx="110">
                  <c:v>2.196625248811479E-4</c:v>
                </c:pt>
                <c:pt idx="111">
                  <c:v>1.7985341618653727E-4</c:v>
                </c:pt>
                <c:pt idx="112">
                  <c:v>1.472575239707119E-4</c:v>
                </c:pt>
                <c:pt idx="113">
                  <c:v>1.2056828644757545E-4</c:v>
                </c:pt>
                <c:pt idx="114">
                  <c:v>9.8715660789006066E-5</c:v>
                </c:pt>
                <c:pt idx="115">
                  <c:v>8.0823355126158347E-5</c:v>
                </c:pt>
                <c:pt idx="116">
                  <c:v>6.6173778281219953E-5</c:v>
                </c:pt>
                <c:pt idx="117">
                  <c:v>5.41793196957574E-5</c:v>
                </c:pt>
                <c:pt idx="118">
                  <c:v>4.4358819778267389E-5</c:v>
                </c:pt>
                <c:pt idx="119">
                  <c:v>3.6318294961867892E-5</c:v>
                </c:pt>
                <c:pt idx="120">
                  <c:v>2.973514968229729E-5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BC-42F8-83BA-6F5D62E5B74A}"/>
            </c:ext>
          </c:extLst>
        </c:ser>
        <c:ser>
          <c:idx val="4"/>
          <c:order val="4"/>
          <c:tx>
            <c:strRef>
              <c:f>Scored!$F$1</c:f>
              <c:strCache>
                <c:ptCount val="1"/>
                <c:pt idx="0">
                  <c:v>Z</c:v>
                </c:pt>
              </c:strCache>
            </c:strRef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Scored!$A$2:$A$122</c:f>
              <c:numCache>
                <c:formatCode>0.00</c:formatCode>
                <c:ptCount val="121"/>
                <c:pt idx="0">
                  <c:v>-6</c:v>
                </c:pt>
                <c:pt idx="1">
                  <c:v>-5.9</c:v>
                </c:pt>
                <c:pt idx="2">
                  <c:v>-5.8</c:v>
                </c:pt>
                <c:pt idx="3">
                  <c:v>-5.7</c:v>
                </c:pt>
                <c:pt idx="4">
                  <c:v>-5.6</c:v>
                </c:pt>
                <c:pt idx="5">
                  <c:v>-5.5</c:v>
                </c:pt>
                <c:pt idx="6">
                  <c:v>-5.4</c:v>
                </c:pt>
                <c:pt idx="7">
                  <c:v>-5.3</c:v>
                </c:pt>
                <c:pt idx="8">
                  <c:v>-5.2</c:v>
                </c:pt>
                <c:pt idx="9">
                  <c:v>-5.0999999999999996</c:v>
                </c:pt>
                <c:pt idx="10">
                  <c:v>-5</c:v>
                </c:pt>
                <c:pt idx="11">
                  <c:v>-4.9000000000000004</c:v>
                </c:pt>
                <c:pt idx="12">
                  <c:v>-4.8</c:v>
                </c:pt>
                <c:pt idx="13">
                  <c:v>-4.7</c:v>
                </c:pt>
                <c:pt idx="14">
                  <c:v>-4.5999999999999996</c:v>
                </c:pt>
                <c:pt idx="15">
                  <c:v>-4.5</c:v>
                </c:pt>
                <c:pt idx="16">
                  <c:v>-4.4000000000000004</c:v>
                </c:pt>
                <c:pt idx="17">
                  <c:v>-4.3</c:v>
                </c:pt>
                <c:pt idx="18">
                  <c:v>-4.2</c:v>
                </c:pt>
                <c:pt idx="19">
                  <c:v>-4.0999999999999996</c:v>
                </c:pt>
                <c:pt idx="20">
                  <c:v>-4</c:v>
                </c:pt>
                <c:pt idx="21">
                  <c:v>-3.9</c:v>
                </c:pt>
                <c:pt idx="22">
                  <c:v>-3.8</c:v>
                </c:pt>
                <c:pt idx="23">
                  <c:v>-3.7</c:v>
                </c:pt>
                <c:pt idx="24">
                  <c:v>-3.6</c:v>
                </c:pt>
                <c:pt idx="25">
                  <c:v>-3.5000000000000102</c:v>
                </c:pt>
                <c:pt idx="26">
                  <c:v>-3.4000000000000101</c:v>
                </c:pt>
                <c:pt idx="27">
                  <c:v>-3.30000000000001</c:v>
                </c:pt>
                <c:pt idx="28">
                  <c:v>-3.2000000000000099</c:v>
                </c:pt>
                <c:pt idx="29">
                  <c:v>-3.1000000000000099</c:v>
                </c:pt>
                <c:pt idx="30">
                  <c:v>-3.0000000000000102</c:v>
                </c:pt>
                <c:pt idx="31">
                  <c:v>-2.9000000000000101</c:v>
                </c:pt>
                <c:pt idx="32">
                  <c:v>-2.80000000000001</c:v>
                </c:pt>
                <c:pt idx="33">
                  <c:v>-2.7000000000000099</c:v>
                </c:pt>
                <c:pt idx="34">
                  <c:v>-2.6000000000000099</c:v>
                </c:pt>
                <c:pt idx="35">
                  <c:v>-2.5000000000000102</c:v>
                </c:pt>
                <c:pt idx="36">
                  <c:v>-2.4000000000000101</c:v>
                </c:pt>
                <c:pt idx="37">
                  <c:v>-2.30000000000001</c:v>
                </c:pt>
                <c:pt idx="38">
                  <c:v>-2.2000000000000099</c:v>
                </c:pt>
                <c:pt idx="39">
                  <c:v>-2.1000000000000099</c:v>
                </c:pt>
                <c:pt idx="40">
                  <c:v>-2.0000000000000102</c:v>
                </c:pt>
                <c:pt idx="41">
                  <c:v>-1.9000000000000099</c:v>
                </c:pt>
                <c:pt idx="42">
                  <c:v>-1.80000000000001</c:v>
                </c:pt>
                <c:pt idx="43">
                  <c:v>-1.7000000000000099</c:v>
                </c:pt>
                <c:pt idx="44">
                  <c:v>-1.6000000000000101</c:v>
                </c:pt>
                <c:pt idx="45">
                  <c:v>-1.50000000000001</c:v>
                </c:pt>
                <c:pt idx="46">
                  <c:v>-1.4000000000000099</c:v>
                </c:pt>
                <c:pt idx="47">
                  <c:v>-1.30000000000001</c:v>
                </c:pt>
                <c:pt idx="48">
                  <c:v>-1.2000000000000099</c:v>
                </c:pt>
                <c:pt idx="49">
                  <c:v>-1.1000000000000101</c:v>
                </c:pt>
                <c:pt idx="50">
                  <c:v>-1.00000000000001</c:v>
                </c:pt>
                <c:pt idx="51">
                  <c:v>-0.90000000000001001</c:v>
                </c:pt>
                <c:pt idx="52">
                  <c:v>-0.80000000000001004</c:v>
                </c:pt>
                <c:pt idx="53">
                  <c:v>-0.70000000000002005</c:v>
                </c:pt>
                <c:pt idx="54">
                  <c:v>-0.60000000000001996</c:v>
                </c:pt>
                <c:pt idx="55">
                  <c:v>-0.50000000000001998</c:v>
                </c:pt>
                <c:pt idx="56">
                  <c:v>-0.40000000000002001</c:v>
                </c:pt>
                <c:pt idx="57">
                  <c:v>-0.30000000000001997</c:v>
                </c:pt>
                <c:pt idx="58">
                  <c:v>-0.20000000000002</c:v>
                </c:pt>
                <c:pt idx="59">
                  <c:v>-0.10000000000002</c:v>
                </c:pt>
                <c:pt idx="60">
                  <c:v>-2.0428103653102899E-14</c:v>
                </c:pt>
                <c:pt idx="61">
                  <c:v>9.9999999999980105E-2</c:v>
                </c:pt>
                <c:pt idx="62">
                  <c:v>0.19999999999998</c:v>
                </c:pt>
                <c:pt idx="63">
                  <c:v>0.29999999999998</c:v>
                </c:pt>
                <c:pt idx="64">
                  <c:v>0.39999999999997998</c:v>
                </c:pt>
                <c:pt idx="65">
                  <c:v>0.49999999999998002</c:v>
                </c:pt>
                <c:pt idx="66">
                  <c:v>0.59999999999997999</c:v>
                </c:pt>
                <c:pt idx="67">
                  <c:v>0.69999999999997997</c:v>
                </c:pt>
                <c:pt idx="68">
                  <c:v>0.79999999999997995</c:v>
                </c:pt>
                <c:pt idx="69">
                  <c:v>0.89999999999998004</c:v>
                </c:pt>
                <c:pt idx="70">
                  <c:v>0.99999999999998002</c:v>
                </c:pt>
                <c:pt idx="71">
                  <c:v>1.0999999999999801</c:v>
                </c:pt>
                <c:pt idx="72">
                  <c:v>1.19999999999998</c:v>
                </c:pt>
                <c:pt idx="73">
                  <c:v>1.2999999999999801</c:v>
                </c:pt>
                <c:pt idx="74">
                  <c:v>1.3999999999999799</c:v>
                </c:pt>
                <c:pt idx="75">
                  <c:v>1.49999999999998</c:v>
                </c:pt>
                <c:pt idx="76">
                  <c:v>1.5999999999999801</c:v>
                </c:pt>
                <c:pt idx="77">
                  <c:v>1.69999999999998</c:v>
                </c:pt>
                <c:pt idx="78">
                  <c:v>1.7999999999999801</c:v>
                </c:pt>
                <c:pt idx="79">
                  <c:v>1.8999999999999799</c:v>
                </c:pt>
                <c:pt idx="80">
                  <c:v>1.99999999999998</c:v>
                </c:pt>
                <c:pt idx="81">
                  <c:v>2.0999999999999699</c:v>
                </c:pt>
                <c:pt idx="82">
                  <c:v>2.19999999999997</c:v>
                </c:pt>
                <c:pt idx="83">
                  <c:v>2.2999999999999701</c:v>
                </c:pt>
                <c:pt idx="84">
                  <c:v>2.3999999999999702</c:v>
                </c:pt>
                <c:pt idx="85">
                  <c:v>2.4999999999999698</c:v>
                </c:pt>
                <c:pt idx="86">
                  <c:v>2.5999999999999699</c:v>
                </c:pt>
                <c:pt idx="87">
                  <c:v>2.69999999999997</c:v>
                </c:pt>
                <c:pt idx="88">
                  <c:v>2.7999999999999701</c:v>
                </c:pt>
                <c:pt idx="89">
                  <c:v>2.8999999999999702</c:v>
                </c:pt>
                <c:pt idx="90">
                  <c:v>2.9999999999999698</c:v>
                </c:pt>
                <c:pt idx="91">
                  <c:v>3.0999999999999699</c:v>
                </c:pt>
                <c:pt idx="92">
                  <c:v>3.19999999999997</c:v>
                </c:pt>
                <c:pt idx="93">
                  <c:v>3.2999999999999701</c:v>
                </c:pt>
                <c:pt idx="94">
                  <c:v>3.3999999999999702</c:v>
                </c:pt>
                <c:pt idx="95">
                  <c:v>3.4999999999999698</c:v>
                </c:pt>
                <c:pt idx="96">
                  <c:v>3.5999999999999699</c:v>
                </c:pt>
                <c:pt idx="97">
                  <c:v>3.69999999999997</c:v>
                </c:pt>
                <c:pt idx="98">
                  <c:v>3.7999999999999701</c:v>
                </c:pt>
                <c:pt idx="99">
                  <c:v>3.8999999999999702</c:v>
                </c:pt>
                <c:pt idx="100">
                  <c:v>3.9999999999999698</c:v>
                </c:pt>
                <c:pt idx="101">
                  <c:v>4.0999999999999703</c:v>
                </c:pt>
                <c:pt idx="102">
                  <c:v>4.19999999999997</c:v>
                </c:pt>
                <c:pt idx="103">
                  <c:v>4.2999999999999696</c:v>
                </c:pt>
                <c:pt idx="104">
                  <c:v>4.3999999999999702</c:v>
                </c:pt>
                <c:pt idx="105">
                  <c:v>4.4999999999999698</c:v>
                </c:pt>
                <c:pt idx="106">
                  <c:v>4.5999999999999703</c:v>
                </c:pt>
                <c:pt idx="107">
                  <c:v>4.69999999999997</c:v>
                </c:pt>
                <c:pt idx="108">
                  <c:v>4.7999999999999696</c:v>
                </c:pt>
                <c:pt idx="109">
                  <c:v>4.8999999999999604</c:v>
                </c:pt>
                <c:pt idx="110">
                  <c:v>4.99999999999996</c:v>
                </c:pt>
                <c:pt idx="111">
                  <c:v>5.0999999999999597</c:v>
                </c:pt>
                <c:pt idx="112">
                  <c:v>5.1999999999999602</c:v>
                </c:pt>
                <c:pt idx="113">
                  <c:v>5.2999999999999599</c:v>
                </c:pt>
                <c:pt idx="114">
                  <c:v>5.3999999999999604</c:v>
                </c:pt>
                <c:pt idx="115">
                  <c:v>5.49999999999996</c:v>
                </c:pt>
                <c:pt idx="116">
                  <c:v>5.5999999999999597</c:v>
                </c:pt>
                <c:pt idx="117">
                  <c:v>5.6999999999999602</c:v>
                </c:pt>
                <c:pt idx="118">
                  <c:v>5.7999999999999599</c:v>
                </c:pt>
                <c:pt idx="119">
                  <c:v>5.8999999999999604</c:v>
                </c:pt>
                <c:pt idx="120">
                  <c:v>5.99999999999996</c:v>
                </c:pt>
              </c:numCache>
            </c:numRef>
          </c:xVal>
          <c:yVal>
            <c:numRef>
              <c:f>Scored!$F$2:$F$122</c:f>
              <c:numCache>
                <c:formatCode>General</c:formatCode>
                <c:ptCount val="121"/>
                <c:pt idx="0">
                  <c:v>8.609268612756602E-5</c:v>
                </c:pt>
                <c:pt idx="1">
                  <c:v>9.7068167079599626E-5</c:v>
                </c:pt>
                <c:pt idx="2">
                  <c:v>1.0944269832050534E-4</c:v>
                </c:pt>
                <c:pt idx="3">
                  <c:v>1.2339457598623172E-4</c:v>
                </c:pt>
                <c:pt idx="4">
                  <c:v>1.3912480715655816E-4</c:v>
                </c:pt>
                <c:pt idx="5">
                  <c:v>1.5685999966687179E-4</c:v>
                </c:pt>
                <c:pt idx="6">
                  <c:v>1.7685561880001287E-4</c:v>
                </c:pt>
                <c:pt idx="7">
                  <c:v>1.9939965721107084E-4</c:v>
                </c:pt>
                <c:pt idx="8">
                  <c:v>2.248167702332953E-4</c:v>
                </c:pt>
                <c:pt idx="9">
                  <c:v>2.5347293521645102E-4</c:v>
                </c:pt>
                <c:pt idx="10">
                  <c:v>2.8578070084187918E-4</c:v>
                </c:pt>
                <c:pt idx="11">
                  <c:v>3.2220510053134382E-4</c:v>
                </c:pt>
                <c:pt idx="12">
                  <c:v>3.6327031321807806E-4</c:v>
                </c:pt>
                <c:pt idx="13">
                  <c:v>4.0956716498605043E-4</c:v>
                </c:pt>
                <c:pt idx="14">
                  <c:v>4.6176157652407581E-4</c:v>
                </c:pt>
                <c:pt idx="15">
                  <c:v>5.2060407411094257E-4</c:v>
                </c:pt>
                <c:pt idx="16">
                  <c:v>5.8694049608080273E-4</c:v>
                </c:pt>
                <c:pt idx="17">
                  <c:v>6.6172404255704506E-4</c:v>
                </c:pt>
                <c:pt idx="18">
                  <c:v>7.4602883383669764E-4</c:v>
                </c:pt>
                <c:pt idx="19">
                  <c:v>8.4106516230888139E-4</c:v>
                </c:pt>
                <c:pt idx="20">
                  <c:v>9.4819664435372543E-4</c:v>
                </c:pt>
                <c:pt idx="21">
                  <c:v>1.0689595024419641E-3</c:v>
                </c:pt>
                <c:pt idx="22">
                  <c:v>1.205084233778948E-3</c:v>
                </c:pt>
                <c:pt idx="23">
                  <c:v>1.3585199504289591E-3</c:v>
                </c:pt>
                <c:pt idx="24">
                  <c:v>1.5314617070032849E-3</c:v>
                </c:pt>
                <c:pt idx="25">
                  <c:v>1.7263811657371314E-3</c:v>
                </c:pt>
                <c:pt idx="26">
                  <c:v>1.9460609850855358E-3</c:v>
                </c:pt>
                <c:pt idx="27">
                  <c:v>2.1936333567087185E-3</c:v>
                </c:pt>
                <c:pt idx="28">
                  <c:v>2.4726231566347457E-3</c:v>
                </c:pt>
                <c:pt idx="29">
                  <c:v>2.7869962190422469E-3</c:v>
                </c:pt>
                <c:pt idx="30">
                  <c:v>3.1412132848293883E-3</c:v>
                </c:pt>
                <c:pt idx="31">
                  <c:v>3.5402902209464627E-3</c:v>
                </c:pt>
                <c:pt idx="32">
                  <c:v>3.9898651489940545E-3</c:v>
                </c:pt>
                <c:pt idx="33">
                  <c:v>4.496273160941127E-3</c:v>
                </c:pt>
                <c:pt idx="34">
                  <c:v>5.0666293334661961E-3</c:v>
                </c:pt>
                <c:pt idx="35">
                  <c:v>5.7089207770232723E-3</c:v>
                </c:pt>
                <c:pt idx="36">
                  <c:v>6.4321084669185617E-3</c:v>
                </c:pt>
                <c:pt idx="37">
                  <c:v>7.2462395958313398E-3</c:v>
                </c:pt>
                <c:pt idx="38">
                  <c:v>8.162571153159803E-3</c:v>
                </c:pt>
                <c:pt idx="39">
                  <c:v>9.1937053672879812E-3</c:v>
                </c:pt>
                <c:pt idx="40">
                  <c:v>1.0353737531091624E-2</c:v>
                </c:pt>
                <c:pt idx="41">
                  <c:v>1.1658416554832962E-2</c:v>
                </c:pt>
                <c:pt idx="42">
                  <c:v>1.3125318337102648E-2</c:v>
                </c:pt>
                <c:pt idx="43">
                  <c:v>1.4774031693272887E-2</c:v>
                </c:pt>
                <c:pt idx="44">
                  <c:v>1.6626356107881435E-2</c:v>
                </c:pt>
                <c:pt idx="45">
                  <c:v>1.8706509954354383E-2</c:v>
                </c:pt>
                <c:pt idx="46">
                  <c:v>2.1041347020468035E-2</c:v>
                </c:pt>
                <c:pt idx="47">
                  <c:v>2.3660578155460927E-2</c:v>
                </c:pt>
                <c:pt idx="48">
                  <c:v>2.6596993576865555E-2</c:v>
                </c:pt>
                <c:pt idx="49">
                  <c:v>2.9886679803635886E-2</c:v>
                </c:pt>
                <c:pt idx="50">
                  <c:v>3.3569223281482131E-2</c:v>
                </c:pt>
                <c:pt idx="51">
                  <c:v>3.7687890508605493E-2</c:v>
                </c:pt>
                <c:pt idx="52">
                  <c:v>4.2289771842033301E-2</c:v>
                </c:pt>
                <c:pt idx="53">
                  <c:v>4.7425873177565692E-2</c:v>
                </c:pt>
                <c:pt idx="54">
                  <c:v>5.3151136398062522E-2</c:v>
                </c:pt>
                <c:pt idx="55">
                  <c:v>5.9524365976500147E-2</c:v>
                </c:pt>
                <c:pt idx="56">
                  <c:v>6.6608035575089167E-2</c:v>
                </c:pt>
                <c:pt idx="57">
                  <c:v>7.4467945166026409E-2</c:v>
                </c:pt>
                <c:pt idx="58">
                  <c:v>8.3172696493920548E-2</c:v>
                </c:pt>
                <c:pt idx="59">
                  <c:v>9.2792953117154964E-2</c:v>
                </c:pt>
                <c:pt idx="60">
                  <c:v>0.10340045145824731</c:v>
                </c:pt>
                <c:pt idx="61">
                  <c:v>0.11506673204554736</c:v>
                </c:pt>
                <c:pt idx="62">
                  <c:v>0.12786156631907866</c:v>
                </c:pt>
                <c:pt idx="63">
                  <c:v>0.14185106490048488</c:v>
                </c:pt>
                <c:pt idx="64">
                  <c:v>0.15709546888544954</c:v>
                </c:pt>
                <c:pt idx="65">
                  <c:v>0.17364664701900157</c:v>
                </c:pt>
                <c:pt idx="66">
                  <c:v>0.19154534856146377</c:v>
                </c:pt>
                <c:pt idx="67">
                  <c:v>0.21081829347774311</c:v>
                </c:pt>
                <c:pt idx="68">
                  <c:v>0.23147521650097808</c:v>
                </c:pt>
                <c:pt idx="69">
                  <c:v>0.2535060166623333</c:v>
                </c:pt>
                <c:pt idx="70">
                  <c:v>0.27687819487560539</c:v>
                </c:pt>
                <c:pt idx="71">
                  <c:v>0.3015347839974562</c:v>
                </c:pt>
                <c:pt idx="72">
                  <c:v>0.32739298293223423</c:v>
                </c:pt>
                <c:pt idx="73">
                  <c:v>0.35434369377419905</c:v>
                </c:pt>
                <c:pt idx="74">
                  <c:v>0.38225212523074531</c:v>
                </c:pt>
                <c:pt idx="75">
                  <c:v>0.41095956594132904</c:v>
                </c:pt>
                <c:pt idx="76">
                  <c:v>0.44028635073280109</c:v>
                </c:pt>
                <c:pt idx="77">
                  <c:v>0.47003594823542227</c:v>
                </c:pt>
                <c:pt idx="78">
                  <c:v>0.499999999999994</c:v>
                </c:pt>
                <c:pt idx="79">
                  <c:v>0.52996405176456574</c:v>
                </c:pt>
                <c:pt idx="80">
                  <c:v>0.55971364926718703</c:v>
                </c:pt>
                <c:pt idx="81">
                  <c:v>0.58904043405865636</c:v>
                </c:pt>
                <c:pt idx="82">
                  <c:v>0.61774787476924042</c:v>
                </c:pt>
                <c:pt idx="83">
                  <c:v>0.64565630622578729</c:v>
                </c:pt>
                <c:pt idx="84">
                  <c:v>0.67260701706775261</c:v>
                </c:pt>
                <c:pt idx="85">
                  <c:v>0.69846521600253109</c:v>
                </c:pt>
                <c:pt idx="86">
                  <c:v>0.72312180512438251</c:v>
                </c:pt>
                <c:pt idx="87">
                  <c:v>0.74649398333765538</c:v>
                </c:pt>
                <c:pt idx="88">
                  <c:v>0.76852478349901132</c:v>
                </c:pt>
                <c:pt idx="89">
                  <c:v>0.78918170652224684</c:v>
                </c:pt>
                <c:pt idx="90">
                  <c:v>0.80845465143852691</c:v>
                </c:pt>
                <c:pt idx="91">
                  <c:v>0.82635335298098977</c:v>
                </c:pt>
                <c:pt idx="92">
                  <c:v>0.84290453111454244</c:v>
                </c:pt>
                <c:pt idx="93">
                  <c:v>0.85814893509950785</c:v>
                </c:pt>
                <c:pt idx="94">
                  <c:v>0.8721384336809147</c:v>
                </c:pt>
                <c:pt idx="95">
                  <c:v>0.88493326795444649</c:v>
                </c:pt>
                <c:pt idx="96">
                  <c:v>0.89659954854174695</c:v>
                </c:pt>
                <c:pt idx="97">
                  <c:v>0.90720704688283993</c:v>
                </c:pt>
                <c:pt idx="98">
                  <c:v>0.91682730350607489</c:v>
                </c:pt>
                <c:pt idx="99">
                  <c:v>0.92553205483396939</c:v>
                </c:pt>
                <c:pt idx="100">
                  <c:v>0.93339196442490713</c:v>
                </c:pt>
                <c:pt idx="101">
                  <c:v>0.94047563402349643</c:v>
                </c:pt>
                <c:pt idx="102">
                  <c:v>0.94684886360193443</c:v>
                </c:pt>
                <c:pt idx="103">
                  <c:v>0.95257412682243148</c:v>
                </c:pt>
                <c:pt idx="104">
                  <c:v>0.9577102281579648</c:v>
                </c:pt>
                <c:pt idx="105">
                  <c:v>0.96231210949139268</c:v>
                </c:pt>
                <c:pt idx="106">
                  <c:v>0.96643077671851629</c:v>
                </c:pt>
                <c:pt idx="107">
                  <c:v>0.97011332019636276</c:v>
                </c:pt>
                <c:pt idx="108">
                  <c:v>0.97340300642313327</c:v>
                </c:pt>
                <c:pt idx="109">
                  <c:v>0.9763394218445377</c:v>
                </c:pt>
                <c:pt idx="110">
                  <c:v>0.97895865297953066</c:v>
                </c:pt>
                <c:pt idx="111">
                  <c:v>0.98129349004564437</c:v>
                </c:pt>
                <c:pt idx="112">
                  <c:v>0.98337364389211745</c:v>
                </c:pt>
                <c:pt idx="113">
                  <c:v>0.98522596830672626</c:v>
                </c:pt>
                <c:pt idx="114">
                  <c:v>0.98687468166289649</c:v>
                </c:pt>
                <c:pt idx="115">
                  <c:v>0.98834158344516632</c:v>
                </c:pt>
                <c:pt idx="116">
                  <c:v>0.98964626246890786</c:v>
                </c:pt>
                <c:pt idx="117">
                  <c:v>0.99080629463271153</c:v>
                </c:pt>
                <c:pt idx="118">
                  <c:v>0.99183742884683967</c:v>
                </c:pt>
                <c:pt idx="119">
                  <c:v>0.9927537604041683</c:v>
                </c:pt>
                <c:pt idx="120">
                  <c:v>0.993567891533081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BC-42F8-83BA-6F5D62E5B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0813711"/>
        <c:axId val="180820239"/>
      </c:scatterChart>
      <c:valAx>
        <c:axId val="9008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20239"/>
        <c:crosses val="autoZero"/>
        <c:crossBetween val="midCat"/>
      </c:valAx>
      <c:valAx>
        <c:axId val="18082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813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Test Score</a:t>
            </a:r>
            <a:r>
              <a:rPr lang="en-US" sz="2000" b="1" baseline="0"/>
              <a:t> 2</a:t>
            </a:r>
            <a:endParaRPr lang="en-US" sz="2000" b="1"/>
          </a:p>
        </c:rich>
      </c:tx>
      <c:layout>
        <c:manualLayout>
          <c:xMode val="edge"/>
          <c:yMode val="edge"/>
          <c:x val="0.37728000145815105"/>
          <c:y val="3.472222222222222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534776902887142E-2"/>
          <c:y val="0.14081036745406825"/>
          <c:w val="0.89075699912510942"/>
          <c:h val="0.7517902449693787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Scored!$G$1</c:f>
              <c:strCache>
                <c:ptCount val="1"/>
                <c:pt idx="0">
                  <c:v>Product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Scored!$A$2:$A$122</c:f>
              <c:numCache>
                <c:formatCode>0.00</c:formatCode>
                <c:ptCount val="121"/>
                <c:pt idx="0">
                  <c:v>-6</c:v>
                </c:pt>
                <c:pt idx="1">
                  <c:v>-5.9</c:v>
                </c:pt>
                <c:pt idx="2">
                  <c:v>-5.8</c:v>
                </c:pt>
                <c:pt idx="3">
                  <c:v>-5.7</c:v>
                </c:pt>
                <c:pt idx="4">
                  <c:v>-5.6</c:v>
                </c:pt>
                <c:pt idx="5">
                  <c:v>-5.5</c:v>
                </c:pt>
                <c:pt idx="6">
                  <c:v>-5.4</c:v>
                </c:pt>
                <c:pt idx="7">
                  <c:v>-5.3</c:v>
                </c:pt>
                <c:pt idx="8">
                  <c:v>-5.2</c:v>
                </c:pt>
                <c:pt idx="9">
                  <c:v>-5.0999999999999996</c:v>
                </c:pt>
                <c:pt idx="10">
                  <c:v>-5</c:v>
                </c:pt>
                <c:pt idx="11">
                  <c:v>-4.9000000000000004</c:v>
                </c:pt>
                <c:pt idx="12">
                  <c:v>-4.8</c:v>
                </c:pt>
                <c:pt idx="13">
                  <c:v>-4.7</c:v>
                </c:pt>
                <c:pt idx="14">
                  <c:v>-4.5999999999999996</c:v>
                </c:pt>
                <c:pt idx="15">
                  <c:v>-4.5</c:v>
                </c:pt>
                <c:pt idx="16">
                  <c:v>-4.4000000000000004</c:v>
                </c:pt>
                <c:pt idx="17">
                  <c:v>-4.3</c:v>
                </c:pt>
                <c:pt idx="18">
                  <c:v>-4.2</c:v>
                </c:pt>
                <c:pt idx="19">
                  <c:v>-4.0999999999999996</c:v>
                </c:pt>
                <c:pt idx="20">
                  <c:v>-4</c:v>
                </c:pt>
                <c:pt idx="21">
                  <c:v>-3.9</c:v>
                </c:pt>
                <c:pt idx="22">
                  <c:v>-3.8</c:v>
                </c:pt>
                <c:pt idx="23">
                  <c:v>-3.7</c:v>
                </c:pt>
                <c:pt idx="24">
                  <c:v>-3.6</c:v>
                </c:pt>
                <c:pt idx="25">
                  <c:v>-3.5000000000000102</c:v>
                </c:pt>
                <c:pt idx="26">
                  <c:v>-3.4000000000000101</c:v>
                </c:pt>
                <c:pt idx="27">
                  <c:v>-3.30000000000001</c:v>
                </c:pt>
                <c:pt idx="28">
                  <c:v>-3.2000000000000099</c:v>
                </c:pt>
                <c:pt idx="29">
                  <c:v>-3.1000000000000099</c:v>
                </c:pt>
                <c:pt idx="30">
                  <c:v>-3.0000000000000102</c:v>
                </c:pt>
                <c:pt idx="31">
                  <c:v>-2.9000000000000101</c:v>
                </c:pt>
                <c:pt idx="32">
                  <c:v>-2.80000000000001</c:v>
                </c:pt>
                <c:pt idx="33">
                  <c:v>-2.7000000000000099</c:v>
                </c:pt>
                <c:pt idx="34">
                  <c:v>-2.6000000000000099</c:v>
                </c:pt>
                <c:pt idx="35">
                  <c:v>-2.5000000000000102</c:v>
                </c:pt>
                <c:pt idx="36">
                  <c:v>-2.4000000000000101</c:v>
                </c:pt>
                <c:pt idx="37">
                  <c:v>-2.30000000000001</c:v>
                </c:pt>
                <c:pt idx="38">
                  <c:v>-2.2000000000000099</c:v>
                </c:pt>
                <c:pt idx="39">
                  <c:v>-2.1000000000000099</c:v>
                </c:pt>
                <c:pt idx="40">
                  <c:v>-2.0000000000000102</c:v>
                </c:pt>
                <c:pt idx="41">
                  <c:v>-1.9000000000000099</c:v>
                </c:pt>
                <c:pt idx="42">
                  <c:v>-1.80000000000001</c:v>
                </c:pt>
                <c:pt idx="43">
                  <c:v>-1.7000000000000099</c:v>
                </c:pt>
                <c:pt idx="44">
                  <c:v>-1.6000000000000101</c:v>
                </c:pt>
                <c:pt idx="45">
                  <c:v>-1.50000000000001</c:v>
                </c:pt>
                <c:pt idx="46">
                  <c:v>-1.4000000000000099</c:v>
                </c:pt>
                <c:pt idx="47">
                  <c:v>-1.30000000000001</c:v>
                </c:pt>
                <c:pt idx="48">
                  <c:v>-1.2000000000000099</c:v>
                </c:pt>
                <c:pt idx="49">
                  <c:v>-1.1000000000000101</c:v>
                </c:pt>
                <c:pt idx="50">
                  <c:v>-1.00000000000001</c:v>
                </c:pt>
                <c:pt idx="51">
                  <c:v>-0.90000000000001001</c:v>
                </c:pt>
                <c:pt idx="52">
                  <c:v>-0.80000000000001004</c:v>
                </c:pt>
                <c:pt idx="53">
                  <c:v>-0.70000000000002005</c:v>
                </c:pt>
                <c:pt idx="54">
                  <c:v>-0.60000000000001996</c:v>
                </c:pt>
                <c:pt idx="55">
                  <c:v>-0.50000000000001998</c:v>
                </c:pt>
                <c:pt idx="56">
                  <c:v>-0.40000000000002001</c:v>
                </c:pt>
                <c:pt idx="57">
                  <c:v>-0.30000000000001997</c:v>
                </c:pt>
                <c:pt idx="58">
                  <c:v>-0.20000000000002</c:v>
                </c:pt>
                <c:pt idx="59">
                  <c:v>-0.10000000000002</c:v>
                </c:pt>
                <c:pt idx="60">
                  <c:v>-2.0428103653102899E-14</c:v>
                </c:pt>
                <c:pt idx="61">
                  <c:v>9.9999999999980105E-2</c:v>
                </c:pt>
                <c:pt idx="62">
                  <c:v>0.19999999999998</c:v>
                </c:pt>
                <c:pt idx="63">
                  <c:v>0.29999999999998</c:v>
                </c:pt>
                <c:pt idx="64">
                  <c:v>0.39999999999997998</c:v>
                </c:pt>
                <c:pt idx="65">
                  <c:v>0.49999999999998002</c:v>
                </c:pt>
                <c:pt idx="66">
                  <c:v>0.59999999999997999</c:v>
                </c:pt>
                <c:pt idx="67">
                  <c:v>0.69999999999997997</c:v>
                </c:pt>
                <c:pt idx="68">
                  <c:v>0.79999999999997995</c:v>
                </c:pt>
                <c:pt idx="69">
                  <c:v>0.89999999999998004</c:v>
                </c:pt>
                <c:pt idx="70">
                  <c:v>0.99999999999998002</c:v>
                </c:pt>
                <c:pt idx="71">
                  <c:v>1.0999999999999801</c:v>
                </c:pt>
                <c:pt idx="72">
                  <c:v>1.19999999999998</c:v>
                </c:pt>
                <c:pt idx="73">
                  <c:v>1.2999999999999801</c:v>
                </c:pt>
                <c:pt idx="74">
                  <c:v>1.3999999999999799</c:v>
                </c:pt>
                <c:pt idx="75">
                  <c:v>1.49999999999998</c:v>
                </c:pt>
                <c:pt idx="76">
                  <c:v>1.5999999999999801</c:v>
                </c:pt>
                <c:pt idx="77">
                  <c:v>1.69999999999998</c:v>
                </c:pt>
                <c:pt idx="78">
                  <c:v>1.7999999999999801</c:v>
                </c:pt>
                <c:pt idx="79">
                  <c:v>1.8999999999999799</c:v>
                </c:pt>
                <c:pt idx="80">
                  <c:v>1.99999999999998</c:v>
                </c:pt>
                <c:pt idx="81">
                  <c:v>2.0999999999999699</c:v>
                </c:pt>
                <c:pt idx="82">
                  <c:v>2.19999999999997</c:v>
                </c:pt>
                <c:pt idx="83">
                  <c:v>2.2999999999999701</c:v>
                </c:pt>
                <c:pt idx="84">
                  <c:v>2.3999999999999702</c:v>
                </c:pt>
                <c:pt idx="85">
                  <c:v>2.4999999999999698</c:v>
                </c:pt>
                <c:pt idx="86">
                  <c:v>2.5999999999999699</c:v>
                </c:pt>
                <c:pt idx="87">
                  <c:v>2.69999999999997</c:v>
                </c:pt>
                <c:pt idx="88">
                  <c:v>2.7999999999999701</c:v>
                </c:pt>
                <c:pt idx="89">
                  <c:v>2.8999999999999702</c:v>
                </c:pt>
                <c:pt idx="90">
                  <c:v>2.9999999999999698</c:v>
                </c:pt>
                <c:pt idx="91">
                  <c:v>3.0999999999999699</c:v>
                </c:pt>
                <c:pt idx="92">
                  <c:v>3.19999999999997</c:v>
                </c:pt>
                <c:pt idx="93">
                  <c:v>3.2999999999999701</c:v>
                </c:pt>
                <c:pt idx="94">
                  <c:v>3.3999999999999702</c:v>
                </c:pt>
                <c:pt idx="95">
                  <c:v>3.4999999999999698</c:v>
                </c:pt>
                <c:pt idx="96">
                  <c:v>3.5999999999999699</c:v>
                </c:pt>
                <c:pt idx="97">
                  <c:v>3.69999999999997</c:v>
                </c:pt>
                <c:pt idx="98">
                  <c:v>3.7999999999999701</c:v>
                </c:pt>
                <c:pt idx="99">
                  <c:v>3.8999999999999702</c:v>
                </c:pt>
                <c:pt idx="100">
                  <c:v>3.9999999999999698</c:v>
                </c:pt>
                <c:pt idx="101">
                  <c:v>4.0999999999999703</c:v>
                </c:pt>
                <c:pt idx="102">
                  <c:v>4.19999999999997</c:v>
                </c:pt>
                <c:pt idx="103">
                  <c:v>4.2999999999999696</c:v>
                </c:pt>
                <c:pt idx="104">
                  <c:v>4.3999999999999702</c:v>
                </c:pt>
                <c:pt idx="105">
                  <c:v>4.4999999999999698</c:v>
                </c:pt>
                <c:pt idx="106">
                  <c:v>4.5999999999999703</c:v>
                </c:pt>
                <c:pt idx="107">
                  <c:v>4.69999999999997</c:v>
                </c:pt>
                <c:pt idx="108">
                  <c:v>4.7999999999999696</c:v>
                </c:pt>
                <c:pt idx="109">
                  <c:v>4.8999999999999604</c:v>
                </c:pt>
                <c:pt idx="110">
                  <c:v>4.99999999999996</c:v>
                </c:pt>
                <c:pt idx="111">
                  <c:v>5.0999999999999597</c:v>
                </c:pt>
                <c:pt idx="112">
                  <c:v>5.1999999999999602</c:v>
                </c:pt>
                <c:pt idx="113">
                  <c:v>5.2999999999999599</c:v>
                </c:pt>
                <c:pt idx="114">
                  <c:v>5.3999999999999604</c:v>
                </c:pt>
                <c:pt idx="115">
                  <c:v>5.49999999999996</c:v>
                </c:pt>
                <c:pt idx="116">
                  <c:v>5.5999999999999597</c:v>
                </c:pt>
                <c:pt idx="117">
                  <c:v>5.6999999999999602</c:v>
                </c:pt>
                <c:pt idx="118">
                  <c:v>5.7999999999999599</c:v>
                </c:pt>
                <c:pt idx="119">
                  <c:v>5.8999999999999604</c:v>
                </c:pt>
                <c:pt idx="120">
                  <c:v>5.99999999999996</c:v>
                </c:pt>
              </c:numCache>
            </c:numRef>
          </c:xVal>
          <c:yVal>
            <c:numRef>
              <c:f>Scored!$G$2:$G$122</c:f>
              <c:numCache>
                <c:formatCode>General</c:formatCode>
                <c:ptCount val="121"/>
                <c:pt idx="0">
                  <c:v>5.4634202352919882E-6</c:v>
                </c:pt>
                <c:pt idx="1">
                  <c:v>6.1546139979751833E-6</c:v>
                </c:pt>
                <c:pt idx="2">
                  <c:v>6.9326004514342115E-6</c:v>
                </c:pt>
                <c:pt idx="3">
                  <c:v>7.8081094218472176E-6</c:v>
                </c:pt>
                <c:pt idx="4">
                  <c:v>8.7931523674650402E-6</c:v>
                </c:pt>
                <c:pt idx="5">
                  <c:v>9.9011631145557832E-6</c:v>
                </c:pt>
                <c:pt idx="6">
                  <c:v>1.1147150478608222E-5</c:v>
                </c:pt>
                <c:pt idx="7">
                  <c:v>1.2547862647964572E-5</c:v>
                </c:pt>
                <c:pt idx="8">
                  <c:v>1.4121962749537148E-5</c:v>
                </c:pt>
                <c:pt idx="9">
                  <c:v>1.5890214384922201E-5</c:v>
                </c:pt>
                <c:pt idx="10">
                  <c:v>1.7875675070508419E-5</c:v>
                </c:pt>
                <c:pt idx="11">
                  <c:v>2.0103894376491948E-5</c:v>
                </c:pt>
                <c:pt idx="12">
                  <c:v>2.260311206429616E-5</c:v>
                </c:pt>
                <c:pt idx="13">
                  <c:v>2.5404449584517773E-5</c:v>
                </c:pt>
                <c:pt idx="14">
                  <c:v>2.8542085821616963E-5</c:v>
                </c:pt>
                <c:pt idx="15">
                  <c:v>3.2053404853082427E-5</c:v>
                </c:pt>
                <c:pt idx="16">
                  <c:v>3.5979099626334989E-5</c:v>
                </c:pt>
                <c:pt idx="17">
                  <c:v>4.0363210758425123E-5</c:v>
                </c:pt>
                <c:pt idx="18">
                  <c:v>4.5253074084712481E-5</c:v>
                </c:pt>
                <c:pt idx="19">
                  <c:v>5.0699144156918529E-5</c:v>
                </c:pt>
                <c:pt idx="20">
                  <c:v>5.6754653792427666E-5</c:v>
                </c:pt>
                <c:pt idx="21">
                  <c:v>6.3475062405509781E-5</c:v>
                </c:pt>
                <c:pt idx="22">
                  <c:v>7.0917238948272626E-5</c:v>
                </c:pt>
                <c:pt idx="23">
                  <c:v>7.9138320081297784E-5</c:v>
                </c:pt>
                <c:pt idx="24">
                  <c:v>8.8194182557012411E-5</c:v>
                </c:pt>
                <c:pt idx="25">
                  <c:v>9.8137473411128657E-5</c:v>
                </c:pt>
                <c:pt idx="26">
                  <c:v>1.0901515598085428E-4</c:v>
                </c:pt>
                <c:pt idx="27">
                  <c:v>1.2086555835222249E-4</c:v>
                </c:pt>
                <c:pt idx="28">
                  <c:v>1.3371495828439658E-4</c:v>
                </c:pt>
                <c:pt idx="29">
                  <c:v>1.4757380903797408E-4</c:v>
                </c:pt>
                <c:pt idx="30">
                  <c:v>1.6243280555147856E-4</c:v>
                </c:pt>
                <c:pt idx="31">
                  <c:v>1.7825910680877214E-4</c:v>
                </c:pt>
                <c:pt idx="32">
                  <c:v>1.9499315656714417E-4</c:v>
                </c:pt>
                <c:pt idx="33">
                  <c:v>2.1254665813234578E-4</c:v>
                </c:pt>
                <c:pt idx="34">
                  <c:v>2.3080232419659611E-4</c:v>
                </c:pt>
                <c:pt idx="35">
                  <c:v>2.4961599460884517E-4</c:v>
                </c:pt>
                <c:pt idx="36">
                  <c:v>2.6882154731830882E-4</c:v>
                </c:pt>
                <c:pt idx="37">
                  <c:v>2.8823869049684564E-4</c:v>
                </c:pt>
                <c:pt idx="38">
                  <c:v>3.0768322408183734E-4</c:v>
                </c:pt>
                <c:pt idx="39">
                  <c:v>3.2697875930820465E-4</c:v>
                </c:pt>
                <c:pt idx="40">
                  <c:v>3.4596830711765405E-4</c:v>
                </c:pt>
                <c:pt idx="41">
                  <c:v>3.6452375072716799E-4</c:v>
                </c:pt>
                <c:pt idx="42">
                  <c:v>3.8255115559816485E-4</c:v>
                </c:pt>
                <c:pt idx="43">
                  <c:v>3.999902264077951E-4</c:v>
                </c:pt>
                <c:pt idx="44">
                  <c:v>4.1680697081877962E-4</c:v>
                </c:pt>
                <c:pt idx="45">
                  <c:v>4.3297963771692213E-4</c:v>
                </c:pt>
                <c:pt idx="46">
                  <c:v>4.4847906051395946E-4</c:v>
                </c:pt>
                <c:pt idx="47">
                  <c:v>4.6324545800809617E-4</c:v>
                </c:pt>
                <c:pt idx="48">
                  <c:v>4.7716440127525529E-4</c:v>
                </c:pt>
                <c:pt idx="49">
                  <c:v>4.9004501607626081E-4</c:v>
                </c:pt>
                <c:pt idx="50">
                  <c:v>5.0160359826240662E-4</c:v>
                </c:pt>
                <c:pt idx="51">
                  <c:v>5.1145572936430448E-4</c:v>
                </c:pt>
                <c:pt idx="52">
                  <c:v>5.1911969720261852E-4</c:v>
                </c:pt>
                <c:pt idx="53">
                  <c:v>5.240334755675398E-4</c:v>
                </c:pt>
                <c:pt idx="54">
                  <c:v>5.2558655166001496E-4</c:v>
                </c:pt>
                <c:pt idx="55">
                  <c:v>5.2316636026341506E-4</c:v>
                </c:pt>
                <c:pt idx="56">
                  <c:v>5.1621694394189503E-4</c:v>
                </c:pt>
                <c:pt idx="57">
                  <c:v>5.0430488381035424E-4</c:v>
                </c:pt>
                <c:pt idx="58">
                  <c:v>4.8718499826897073E-4</c:v>
                </c:pt>
                <c:pt idx="59">
                  <c:v>4.6485649131480187E-4</c:v>
                </c:pt>
                <c:pt idx="60">
                  <c:v>4.3759989725861555E-4</c:v>
                </c:pt>
                <c:pt idx="61">
                  <c:v>4.059868092532459E-4</c:v>
                </c:pt>
                <c:pt idx="62">
                  <c:v>3.7085795952566963E-4</c:v>
                </c:pt>
                <c:pt idx="63">
                  <c:v>3.3327009033436161E-4</c:v>
                </c:pt>
                <c:pt idx="64">
                  <c:v>2.94417142560756E-4</c:v>
                </c:pt>
                <c:pt idx="65">
                  <c:v>2.5553547483868209E-4</c:v>
                </c:pt>
                <c:pt idx="66">
                  <c:v>2.1780530573431935E-4</c:v>
                </c:pt>
                <c:pt idx="67">
                  <c:v>1.8226100448039343E-4</c:v>
                </c:pt>
                <c:pt idx="68">
                  <c:v>1.4972129041376819E-4</c:v>
                </c:pt>
                <c:pt idx="69">
                  <c:v>1.2074712796201017E-4</c:v>
                </c:pt>
                <c:pt idx="70">
                  <c:v>9.5630606934680998E-5</c:v>
                </c:pt>
                <c:pt idx="71">
                  <c:v>7.4413112209450723E-5</c:v>
                </c:pt>
                <c:pt idx="72">
                  <c:v>5.6926596743547998E-5</c:v>
                </c:pt>
                <c:pt idx="73">
                  <c:v>4.2848791120801492E-5</c:v>
                </c:pt>
                <c:pt idx="74">
                  <c:v>3.1762366673882187E-5</c:v>
                </c:pt>
                <c:pt idx="75">
                  <c:v>2.3209404782784342E-5</c:v>
                </c:pt>
                <c:pt idx="76">
                  <c:v>1.6735336440943313E-5</c:v>
                </c:pt>
                <c:pt idx="77">
                  <c:v>1.1919791977860138E-5</c:v>
                </c:pt>
                <c:pt idx="78">
                  <c:v>8.3946279297585926E-6</c:v>
                </c:pt>
                <c:pt idx="79">
                  <c:v>5.8512560224448779E-6</c:v>
                </c:pt>
                <c:pt idx="80">
                  <c:v>4.0402086866635938E-6</c:v>
                </c:pt>
                <c:pt idx="81">
                  <c:v>2.7658616568563366E-6</c:v>
                </c:pt>
                <c:pt idx="82">
                  <c:v>1.8787355518760212E-6</c:v>
                </c:pt>
                <c:pt idx="83">
                  <c:v>1.2671209140970735E-6</c:v>
                </c:pt>
                <c:pt idx="84">
                  <c:v>8.4912131577563006E-7</c:v>
                </c:pt>
                <c:pt idx="85">
                  <c:v>5.6568939952344182E-7</c:v>
                </c:pt>
                <c:pt idx="86">
                  <c:v>3.7486733244488947E-7</c:v>
                </c:pt>
                <c:pt idx="87">
                  <c:v>2.4721932077573679E-7</c:v>
                </c:pt>
                <c:pt idx="88">
                  <c:v>1.623258756594923E-7</c:v>
                </c:pt>
                <c:pt idx="89">
                  <c:v>1.0616269071025674E-7</c:v>
                </c:pt>
                <c:pt idx="90">
                  <c:v>6.918273566766346E-8</c:v>
                </c:pt>
                <c:pt idx="91">
                  <c:v>4.4938019369996298E-8</c:v>
                </c:pt>
                <c:pt idx="92">
                  <c:v>2.9104243636496597E-8</c:v>
                </c:pt>
                <c:pt idx="93">
                  <c:v>1.8799610028153867E-8</c:v>
                </c:pt>
                <c:pt idx="94">
                  <c:v>1.2114472151828652E-8</c:v>
                </c:pt>
                <c:pt idx="95">
                  <c:v>7.789797857562937E-9</c:v>
                </c:pt>
                <c:pt idx="96">
                  <c:v>4.9992804597555463E-9</c:v>
                </c:pt>
                <c:pt idx="97">
                  <c:v>3.2028265396812539E-9</c:v>
                </c:pt>
                <c:pt idx="98">
                  <c:v>2.0487123775755563E-9</c:v>
                </c:pt>
                <c:pt idx="99">
                  <c:v>1.3086393364103787E-9</c:v>
                </c:pt>
                <c:pt idx="100">
                  <c:v>8.3485951349416656E-10</c:v>
                </c:pt>
                <c:pt idx="101">
                  <c:v>5.3200801665823063E-10</c:v>
                </c:pt>
                <c:pt idx="102">
                  <c:v>3.3867689725892146E-10</c:v>
                </c:pt>
                <c:pt idx="103">
                  <c:v>2.1540795209817462E-10</c:v>
                </c:pt>
                <c:pt idx="104">
                  <c:v>1.3689517162342545E-10</c:v>
                </c:pt>
                <c:pt idx="105">
                  <c:v>8.6936470551532965E-11</c:v>
                </c:pt>
                <c:pt idx="106">
                  <c:v>5.5174289493745816E-11</c:v>
                </c:pt>
                <c:pt idx="107">
                  <c:v>3.4996312469900981E-11</c:v>
                </c:pt>
                <c:pt idx="108">
                  <c:v>2.2186326492781184E-11</c:v>
                </c:pt>
                <c:pt idx="109">
                  <c:v>1.4058858283317001E-11</c:v>
                </c:pt>
                <c:pt idx="110">
                  <c:v>8.9050767246064159E-12</c:v>
                </c:pt>
                <c:pt idx="111">
                  <c:v>5.6385491948998212E-12</c:v>
                </c:pt>
                <c:pt idx="112">
                  <c:v>3.5690798655083354E-12</c:v>
                </c:pt>
                <c:pt idx="113">
                  <c:v>2.2584974017027047E-12</c:v>
                </c:pt>
                <c:pt idx="114">
                  <c:v>1.4287984466408202E-12</c:v>
                </c:pt>
                <c:pt idx="115">
                  <c:v>9.036963474314604E-13</c:v>
                </c:pt>
                <c:pt idx="116">
                  <c:v>5.714590197123262E-13</c:v>
                </c:pt>
                <c:pt idx="117">
                  <c:v>3.6130029313014733E-13</c:v>
                </c:pt>
                <c:pt idx="118">
                  <c:v>2.2839195113544561E-13</c:v>
                </c:pt>
                <c:pt idx="119">
                  <c:v>1.4435445803317379E-13</c:v>
                </c:pt>
                <c:pt idx="120">
                  <c:v>9.1226993755033892E-14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A9-4953-A67D-8961F9804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038975"/>
        <c:axId val="795327119"/>
      </c:scatterChart>
      <c:valAx>
        <c:axId val="868038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327119"/>
        <c:crosses val="autoZero"/>
        <c:crossBetween val="midCat"/>
      </c:valAx>
      <c:valAx>
        <c:axId val="795327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038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1</xdr:row>
      <xdr:rowOff>61912</xdr:rowOff>
    </xdr:from>
    <xdr:to>
      <xdr:col>15</xdr:col>
      <xdr:colOff>419100</xdr:colOff>
      <xdr:row>24</xdr:row>
      <xdr:rowOff>14287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C0F065C-F9D4-4A49-8695-FC822F81F6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447675</xdr:colOff>
      <xdr:row>0</xdr:row>
      <xdr:rowOff>171448</xdr:rowOff>
    </xdr:from>
    <xdr:to>
      <xdr:col>19</xdr:col>
      <xdr:colOff>561975</xdr:colOff>
      <xdr:row>23</xdr:row>
      <xdr:rowOff>123823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3009F4-FD90-4AF6-8BEF-CCA0EBECB4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428625</xdr:colOff>
      <xdr:row>25</xdr:row>
      <xdr:rowOff>104774</xdr:rowOff>
    </xdr:from>
    <xdr:to>
      <xdr:col>19</xdr:col>
      <xdr:colOff>85725</xdr:colOff>
      <xdr:row>45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3B70AE-6927-4205-8736-988E6A7752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F9BA-1CFF-484B-8E4C-5BF1395BA381}">
  <sheetPr codeName="Sheet1"/>
  <dimension ref="A1:F6"/>
  <sheetViews>
    <sheetView workbookViewId="0">
      <selection activeCell="F7" sqref="F7"/>
    </sheetView>
  </sheetViews>
  <sheetFormatPr defaultRowHeight="14.25" x14ac:dyDescent="0.45"/>
  <sheetData>
    <row r="1" spans="1:6" x14ac:dyDescent="0.45">
      <c r="A1" t="s">
        <v>1</v>
      </c>
      <c r="B1" t="s">
        <v>7</v>
      </c>
      <c r="C1" t="s">
        <v>8</v>
      </c>
      <c r="D1" t="s">
        <v>6</v>
      </c>
      <c r="E1" t="s">
        <v>9</v>
      </c>
      <c r="F1" t="s">
        <v>10</v>
      </c>
    </row>
    <row r="2" spans="1:6" x14ac:dyDescent="0.45">
      <c r="A2" t="s">
        <v>2</v>
      </c>
      <c r="B2" s="7">
        <v>1.7</v>
      </c>
      <c r="C2" s="7">
        <v>0.9</v>
      </c>
      <c r="D2" s="7">
        <v>1.8</v>
      </c>
      <c r="E2" s="7">
        <v>2</v>
      </c>
      <c r="F2" s="7">
        <v>1.2</v>
      </c>
    </row>
    <row r="3" spans="1:6" x14ac:dyDescent="0.45">
      <c r="A3" t="s">
        <v>3</v>
      </c>
      <c r="B3" s="7">
        <v>-1.9</v>
      </c>
      <c r="C3" s="7">
        <v>-0.6</v>
      </c>
      <c r="D3" s="7">
        <v>0</v>
      </c>
      <c r="E3" s="7">
        <v>0.9</v>
      </c>
      <c r="F3" s="7">
        <v>1.8</v>
      </c>
    </row>
    <row r="4" spans="1:6" x14ac:dyDescent="0.45">
      <c r="A4" t="s">
        <v>4</v>
      </c>
      <c r="B4" s="7">
        <v>0</v>
      </c>
      <c r="C4" s="7">
        <v>0.2</v>
      </c>
      <c r="D4" s="7">
        <v>0.1</v>
      </c>
      <c r="E4" s="7">
        <v>0.2</v>
      </c>
      <c r="F4" s="7">
        <v>0</v>
      </c>
    </row>
    <row r="5" spans="1:6" x14ac:dyDescent="0.45">
      <c r="A5" t="s">
        <v>12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45">
      <c r="A6" t="s">
        <v>5</v>
      </c>
      <c r="B6">
        <v>0</v>
      </c>
      <c r="C6">
        <v>0</v>
      </c>
      <c r="D6">
        <v>1</v>
      </c>
      <c r="E6">
        <v>0</v>
      </c>
      <c r="F6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93B11-38F2-493A-83AF-60643FF5B71B}">
  <sheetPr codeName="Sheet2"/>
  <dimension ref="A1:F122"/>
  <sheetViews>
    <sheetView workbookViewId="0">
      <selection activeCell="O27" sqref="O27"/>
    </sheetView>
  </sheetViews>
  <sheetFormatPr defaultRowHeight="14.25" x14ac:dyDescent="0.45"/>
  <cols>
    <col min="1" max="1" width="9.06640625" style="1"/>
  </cols>
  <sheetData>
    <row r="1" spans="1:6" x14ac:dyDescent="0.45">
      <c r="A1" s="2" t="s">
        <v>0</v>
      </c>
      <c r="B1" s="3" t="s">
        <v>7</v>
      </c>
      <c r="C1" s="3" t="s">
        <v>8</v>
      </c>
      <c r="D1" s="3" t="s">
        <v>6</v>
      </c>
      <c r="E1" s="3" t="s">
        <v>9</v>
      </c>
      <c r="F1" s="3" t="s">
        <v>10</v>
      </c>
    </row>
    <row r="2" spans="1:6" x14ac:dyDescent="0.45">
      <c r="A2" s="1">
        <v>-6</v>
      </c>
      <c r="B2">
        <f>Items!B$4+(1-Items!B$4)/(1+EXP(-Items!B$2*($A2-Items!B$3)))</f>
        <v>9.3877078713804876E-4</v>
      </c>
      <c r="C2">
        <f>Items!C$4+(1-Items!C$4)/(1+EXP(-Items!C$2*($A2-Items!C$3)))</f>
        <v>0.20615270070520667</v>
      </c>
      <c r="D2">
        <f>Items!D$4+(1-Items!D$4)/(1+EXP(-Items!D$2*($A2-Items!D$3)))</f>
        <v>0.10001835917855194</v>
      </c>
      <c r="E2">
        <f>Items!E$4+(1-Items!E$4)/(1+EXP(-Items!E$2*($A2-Items!E$3)))</f>
        <v>0.20000081250435162</v>
      </c>
      <c r="F2">
        <f>Items!F$4+(1-Items!F$4)/(1+EXP(-Items!F$2*($A2-Items!F$3)))</f>
        <v>8.609268612756602E-5</v>
      </c>
    </row>
    <row r="3" spans="1:6" x14ac:dyDescent="0.45">
      <c r="A3" s="1">
        <v>-5.9</v>
      </c>
      <c r="B3">
        <f>Items!B$4+(1-Items!B$4)/(1+EXP(-Items!B$2*($A3-Items!B$3)))</f>
        <v>1.1125360328603216E-3</v>
      </c>
      <c r="C3">
        <f>Items!C$4+(1-Items!C$4)/(1+EXP(-Items!C$2*($A3-Items!C$3)))</f>
        <v>0.20672725445277038</v>
      </c>
      <c r="D3">
        <f>Items!D$4+(1-Items!D$4)/(1+EXP(-Items!D$2*($A3-Items!D$3)))</f>
        <v>0.10002197983890894</v>
      </c>
      <c r="E3">
        <f>Items!E$4+(1-Items!E$4)/(1+EXP(-Items!E$2*($A3-Items!E$3)))</f>
        <v>0.2000009923948329</v>
      </c>
      <c r="F3">
        <f>Items!F$4+(1-Items!F$4)/(1+EXP(-Items!F$2*($A3-Items!F$3)))</f>
        <v>9.7068167079599626E-5</v>
      </c>
    </row>
    <row r="4" spans="1:6" x14ac:dyDescent="0.45">
      <c r="A4" s="1">
        <v>-5.8</v>
      </c>
      <c r="B4">
        <f>Items!B$4+(1-Items!B$4)/(1+EXP(-Items!B$2*($A4-Items!B$3)))</f>
        <v>1.3184225532339462E-3</v>
      </c>
      <c r="C4">
        <f>Items!C$4+(1-Items!C$4)/(1+EXP(-Items!C$2*($A4-Items!C$3)))</f>
        <v>0.20735496429383049</v>
      </c>
      <c r="D4">
        <f>Items!D$4+(1-Items!D$4)/(1+EXP(-Items!D$2*($A4-Items!D$3)))</f>
        <v>0.10002631451803783</v>
      </c>
      <c r="E4">
        <f>Items!E$4+(1-Items!E$4)/(1+EXP(-Items!E$2*($A4-Items!E$3)))</f>
        <v>0.2000012121134532</v>
      </c>
      <c r="F4">
        <f>Items!F$4+(1-Items!F$4)/(1+EXP(-Items!F$2*($A4-Items!F$3)))</f>
        <v>1.0944269832050534E-4</v>
      </c>
    </row>
    <row r="5" spans="1:6" x14ac:dyDescent="0.45">
      <c r="A5" s="1">
        <v>-5.7</v>
      </c>
      <c r="B5">
        <f>Items!B$4+(1-Items!B$4)/(1+EXP(-Items!B$2*($A5-Items!B$3)))</f>
        <v>1.5623509503289617E-3</v>
      </c>
      <c r="C5">
        <f>Items!C$4+(1-Items!C$4)/(1+EXP(-Items!C$2*($A5-Items!C$3)))</f>
        <v>0.208040651106779</v>
      </c>
      <c r="D5">
        <f>Items!D$4+(1-Items!D$4)/(1+EXP(-Items!D$2*($A5-Items!D$3)))</f>
        <v>0.1000315040162351</v>
      </c>
      <c r="E5">
        <f>Items!E$4+(1-Items!E$4)/(1+EXP(-Items!E$2*($A5-Items!E$3)))</f>
        <v>0.20000148047821831</v>
      </c>
      <c r="F5">
        <f>Items!F$4+(1-Items!F$4)/(1+EXP(-Items!F$2*($A5-Items!F$3)))</f>
        <v>1.2339457598623172E-4</v>
      </c>
    </row>
    <row r="6" spans="1:6" x14ac:dyDescent="0.45">
      <c r="A6" s="1">
        <v>-5.6</v>
      </c>
      <c r="B6">
        <f>Items!B$4+(1-Items!B$4)/(1+EXP(-Items!B$2*($A6-Items!B$3)))</f>
        <v>1.851326181206039E-3</v>
      </c>
      <c r="C6">
        <f>Items!C$4+(1-Items!C$4)/(1+EXP(-Items!C$2*($A6-Items!C$3)))</f>
        <v>0.20878955410447456</v>
      </c>
      <c r="D6">
        <f>Items!D$4+(1-Items!D$4)/(1+EXP(-Items!D$2*($A6-Items!D$3)))</f>
        <v>0.10003771689486662</v>
      </c>
      <c r="E6">
        <f>Items!E$4+(1-Items!E$4)/(1+EXP(-Items!E$2*($A6-Items!E$3)))</f>
        <v>0.20000180825943834</v>
      </c>
      <c r="F6">
        <f>Items!F$4+(1-Items!F$4)/(1+EXP(-Items!F$2*($A6-Items!F$3)))</f>
        <v>1.3912480715655816E-4</v>
      </c>
    </row>
    <row r="7" spans="1:6" x14ac:dyDescent="0.45">
      <c r="A7" s="1">
        <v>-5.5</v>
      </c>
      <c r="B7">
        <f>Items!B$4+(1-Items!B$4)/(1+EXP(-Items!B$2*($A7-Items!B$3)))</f>
        <v>2.1936333567087458E-3</v>
      </c>
      <c r="C7">
        <f>Items!C$4+(1-Items!C$4)/(1+EXP(-Items!C$2*($A7-Items!C$3)))</f>
        <v>0.20960736344794192</v>
      </c>
      <c r="D7">
        <f>Items!D$4+(1-Items!D$4)/(1+EXP(-Items!D$2*($A7-Items!D$3)))</f>
        <v>0.10004515494821539</v>
      </c>
      <c r="E7">
        <f>Items!E$4+(1-Items!E$4)/(1+EXP(-Items!E$2*($A7-Items!E$3)))</f>
        <v>0.20000220861196016</v>
      </c>
      <c r="F7">
        <f>Items!F$4+(1-Items!F$4)/(1+EXP(-Items!F$2*($A7-Items!F$3)))</f>
        <v>1.5685999966687179E-4</v>
      </c>
    </row>
    <row r="8" spans="1:6" x14ac:dyDescent="0.45">
      <c r="A8" s="1">
        <v>-5.4</v>
      </c>
      <c r="B8">
        <f>Items!B$4+(1-Items!B$4)/(1+EXP(-Items!B$2*($A8-Items!B$3)))</f>
        <v>2.5990677623233469E-3</v>
      </c>
      <c r="C8">
        <f>Items!C$4+(1-Items!C$4)/(1+EXP(-Items!C$2*($A8-Items!C$3)))</f>
        <v>0.21050025466968225</v>
      </c>
      <c r="D8">
        <f>Items!D$4+(1-Items!D$4)/(1+EXP(-Items!D$2*($A8-Items!D$3)))</f>
        <v>0.1000540597531227</v>
      </c>
      <c r="E8">
        <f>Items!E$4+(1-Items!E$4)/(1+EXP(-Items!E$2*($A8-Items!E$3)))</f>
        <v>0.20000269760309097</v>
      </c>
      <c r="F8">
        <f>Items!F$4+(1-Items!F$4)/(1+EXP(-Items!F$2*($A8-Items!F$3)))</f>
        <v>1.7685561880001287E-4</v>
      </c>
    </row>
    <row r="9" spans="1:6" x14ac:dyDescent="0.45">
      <c r="A9" s="1">
        <v>-5.3</v>
      </c>
      <c r="B9">
        <f>Items!B$4+(1-Items!B$4)/(1+EXP(-Items!B$2*($A9-Items!B$3)))</f>
        <v>3.0792046214773005E-3</v>
      </c>
      <c r="C9">
        <f>Items!C$4+(1-Items!C$4)/(1+EXP(-Items!C$2*($A9-Items!C$3)))</f>
        <v>0.21147492485079047</v>
      </c>
      <c r="D9">
        <f>Items!D$4+(1-Items!D$4)/(1+EXP(-Items!D$2*($A9-Items!D$3)))</f>
        <v>0.10006472050839665</v>
      </c>
      <c r="E9">
        <f>Items!E$4+(1-Items!E$4)/(1+EXP(-Items!E$2*($A9-Items!E$3)))</f>
        <v>0.20000329485739587</v>
      </c>
      <c r="F9">
        <f>Items!F$4+(1-Items!F$4)/(1+EXP(-Items!F$2*($A9-Items!F$3)))</f>
        <v>1.9939965721107084E-4</v>
      </c>
    </row>
    <row r="10" spans="1:6" x14ac:dyDescent="0.45">
      <c r="A10" s="1">
        <v>-5.2</v>
      </c>
      <c r="B10">
        <f>Items!B$4+(1-Items!B$4)/(1+EXP(-Items!B$2*($A10-Items!B$3)))</f>
        <v>3.6477148207749248E-3</v>
      </c>
      <c r="C10">
        <f>Items!C$4+(1-Items!C$4)/(1+EXP(-Items!C$2*($A10-Items!C$3)))</f>
        <v>0.21253863045283886</v>
      </c>
      <c r="D10">
        <f>Items!D$4+(1-Items!D$4)/(1+EXP(-Items!D$2*($A10-Items!D$3)))</f>
        <v>0.10007748341751481</v>
      </c>
      <c r="E10">
        <f>Items!E$4+(1-Items!E$4)/(1+EXP(-Items!E$2*($A10-Items!E$3)))</f>
        <v>0.20000402434424142</v>
      </c>
      <c r="F10">
        <f>Items!F$4+(1-Items!F$4)/(1+EXP(-Items!F$2*($A10-Items!F$3)))</f>
        <v>2.248167702332953E-4</v>
      </c>
    </row>
    <row r="11" spans="1:6" x14ac:dyDescent="0.45">
      <c r="A11" s="1">
        <v>-5.0999999999999996</v>
      </c>
      <c r="B11">
        <f>Items!B$4+(1-Items!B$4)/(1+EXP(-Items!B$2*($A11-Items!B$3)))</f>
        <v>4.3207335199119202E-3</v>
      </c>
      <c r="C11">
        <f>Items!C$4+(1-Items!C$4)/(1+EXP(-Items!C$2*($A11-Items!C$3)))</f>
        <v>0.2136992266525822</v>
      </c>
      <c r="D11">
        <f>Items!D$4+(1-Items!D$4)/(1+EXP(-Items!D$2*($A11-Items!D$3)))</f>
        <v>0.10009276291778371</v>
      </c>
      <c r="E11">
        <f>Items!E$4+(1-Items!E$4)/(1+EXP(-Items!E$2*($A11-Items!E$3)))</f>
        <v>0.20000491533968179</v>
      </c>
      <c r="F11">
        <f>Items!F$4+(1-Items!F$4)/(1+EXP(-Items!F$2*($A11-Items!F$3)))</f>
        <v>2.5347293521645102E-4</v>
      </c>
    </row>
    <row r="12" spans="1:6" x14ac:dyDescent="0.45">
      <c r="A12" s="1">
        <v>-5</v>
      </c>
      <c r="B12">
        <f>Items!B$4+(1-Items!B$4)/(1+EXP(-Items!B$2*($A12-Items!B$3)))</f>
        <v>5.1172892300414873E-3</v>
      </c>
      <c r="C12">
        <f>Items!C$4+(1-Items!C$4)/(1+EXP(-Items!C$2*($A12-Items!C$3)))</f>
        <v>0.2149652079634837</v>
      </c>
      <c r="D12">
        <f>Items!D$4+(1-Items!D$4)/(1+EXP(-Items!D$2*($A12-Items!D$3)))</f>
        <v>0.10011105511838761</v>
      </c>
      <c r="E12">
        <f>Items!E$4+(1-Items!E$4)/(1+EXP(-Items!E$2*($A12-Items!E$3)))</f>
        <v>0.20000600360127771</v>
      </c>
      <c r="F12">
        <f>Items!F$4+(1-Items!F$4)/(1+EXP(-Items!F$2*($A12-Items!F$3)))</f>
        <v>2.8578070084187918E-4</v>
      </c>
    </row>
    <row r="13" spans="1:6" x14ac:dyDescent="0.45">
      <c r="A13" s="1">
        <v>-4.9000000000000004</v>
      </c>
      <c r="B13">
        <f>Items!B$4+(1-Items!B$4)/(1+EXP(-Items!B$2*($A13-Items!B$3)))</f>
        <v>6.0598014915841103E-3</v>
      </c>
      <c r="C13">
        <f>Items!C$4+(1-Items!C$4)/(1+EXP(-Items!C$2*($A13-Items!C$3)))</f>
        <v>0.21634574985124241</v>
      </c>
      <c r="D13">
        <f>Items!D$4+(1-Items!D$4)/(1+EXP(-Items!D$2*($A13-Items!D$3)))</f>
        <v>0.10013295388049101</v>
      </c>
      <c r="E13">
        <f>Items!E$4+(1-Items!E$4)/(1+EXP(-Items!E$2*($A13-Items!E$3)))</f>
        <v>0.20000733280297589</v>
      </c>
      <c r="F13">
        <f>Items!F$4+(1-Items!F$4)/(1+EXP(-Items!F$2*($A13-Items!F$3)))</f>
        <v>3.2220510053134382E-4</v>
      </c>
    </row>
    <row r="14" spans="1:6" x14ac:dyDescent="0.45">
      <c r="A14" s="1">
        <v>-4.8</v>
      </c>
      <c r="B14">
        <f>Items!B$4+(1-Items!B$4)/(1+EXP(-Items!B$2*($A14-Items!B$3)))</f>
        <v>7.174655609074738E-3</v>
      </c>
      <c r="C14">
        <f>Items!C$4+(1-Items!C$4)/(1+EXP(-Items!C$2*($A14-Items!C$3)))</f>
        <v>0.21785075095922579</v>
      </c>
      <c r="D14">
        <f>Items!D$4+(1-Items!D$4)/(1+EXP(-Items!D$2*($A14-Items!D$3)))</f>
        <v>0.10015917005692002</v>
      </c>
      <c r="E14">
        <f>Items!E$4+(1-Items!E$4)/(1+EXP(-Items!E$2*($A14-Items!E$3)))</f>
        <v>0.20000895628760409</v>
      </c>
      <c r="F14">
        <f>Items!F$4+(1-Items!F$4)/(1+EXP(-Items!F$2*($A14-Items!F$3)))</f>
        <v>3.6327031321807806E-4</v>
      </c>
    </row>
    <row r="15" spans="1:6" x14ac:dyDescent="0.45">
      <c r="A15" s="1">
        <v>-4.7</v>
      </c>
      <c r="B15">
        <f>Items!B$4+(1-Items!B$4)/(1+EXP(-Items!B$2*($A15-Items!B$3)))</f>
        <v>8.4928628516443457E-3</v>
      </c>
      <c r="C15">
        <f>Items!C$4+(1-Items!C$4)/(1+EXP(-Items!C$2*($A15-Items!C$3)))</f>
        <v>0.21949087545222229</v>
      </c>
      <c r="D15">
        <f>Items!D$4+(1-Items!D$4)/(1+EXP(-Items!D$2*($A15-Items!D$3)))</f>
        <v>0.10019055450948322</v>
      </c>
      <c r="E15">
        <f>Items!E$4+(1-Items!E$4)/(1+EXP(-Items!E$2*($A15-Items!E$3)))</f>
        <v>0.2000109392072677</v>
      </c>
      <c r="F15">
        <f>Items!F$4+(1-Items!F$4)/(1+EXP(-Items!F$2*($A15-Items!F$3)))</f>
        <v>4.0956716498605043E-4</v>
      </c>
    </row>
    <row r="16" spans="1:6" x14ac:dyDescent="0.45">
      <c r="A16" s="1">
        <v>-4.5999999999999996</v>
      </c>
      <c r="B16">
        <f>Items!B$4+(1-Items!B$4)/(1+EXP(-Items!B$2*($A16-Items!B$3)))</f>
        <v>1.0050813883473756E-2</v>
      </c>
      <c r="C16">
        <f>Items!C$4+(1-Items!C$4)/(1+EXP(-Items!C$2*($A16-Items!C$3)))</f>
        <v>0.2212775948614927</v>
      </c>
      <c r="D16">
        <f>Items!D$4+(1-Items!D$4)/(1+EXP(-Items!D$2*($A16-Items!D$3)))</f>
        <v>0.10022812564169481</v>
      </c>
      <c r="E16">
        <f>Items!E$4+(1-Items!E$4)/(1+EXP(-Items!E$2*($A16-Items!E$3)))</f>
        <v>0.20001336113747847</v>
      </c>
      <c r="F16">
        <f>Items!F$4+(1-Items!F$4)/(1+EXP(-Items!F$2*($A16-Items!F$3)))</f>
        <v>4.6176157652407581E-4</v>
      </c>
    </row>
    <row r="17" spans="1:6" x14ac:dyDescent="0.45">
      <c r="A17" s="1">
        <v>-4.5</v>
      </c>
      <c r="B17">
        <f>Items!B$4+(1-Items!B$4)/(1+EXP(-Items!B$2*($A17-Items!B$3)))</f>
        <v>1.1891131644386993E-2</v>
      </c>
      <c r="C17">
        <f>Items!C$4+(1-Items!C$4)/(1+EXP(-Items!C$2*($A17-Items!C$3)))</f>
        <v>0.22322322866907263</v>
      </c>
      <c r="D17">
        <f>Items!D$4+(1-Items!D$4)/(1+EXP(-Items!D$2*($A17-Items!D$3)))</f>
        <v>0.10027310232702603</v>
      </c>
      <c r="E17">
        <f>Items!E$4+(1-Items!E$4)/(1+EXP(-Items!E$2*($A17-Items!E$3)))</f>
        <v>0.20001631926982394</v>
      </c>
      <c r="F17">
        <f>Items!F$4+(1-Items!F$4)/(1+EXP(-Items!F$2*($A17-Items!F$3)))</f>
        <v>5.2060407411094257E-4</v>
      </c>
    </row>
    <row r="18" spans="1:6" x14ac:dyDescent="0.45">
      <c r="A18" s="1">
        <v>-4.4000000000000004</v>
      </c>
      <c r="B18">
        <f>Items!B$4+(1-Items!B$4)/(1+EXP(-Items!B$2*($A18-Items!B$3)))</f>
        <v>1.4063627043245463E-2</v>
      </c>
      <c r="C18">
        <f>Items!C$4+(1-Items!C$4)/(1+EXP(-Items!C$2*($A18-Items!C$3)))</f>
        <v>0.22534098270324512</v>
      </c>
      <c r="D18">
        <f>Items!D$4+(1-Items!D$4)/(1+EXP(-Items!D$2*($A18-Items!D$3)))</f>
        <v>0.10032694328189627</v>
      </c>
      <c r="E18">
        <f>Items!E$4+(1-Items!E$4)/(1+EXP(-Items!E$2*($A18-Items!E$3)))</f>
        <v>0.20001993231115156</v>
      </c>
      <c r="F18">
        <f>Items!F$4+(1-Items!F$4)/(1+EXP(-Items!F$2*($A18-Items!F$3)))</f>
        <v>5.8694049608080273E-4</v>
      </c>
    </row>
    <row r="19" spans="1:6" x14ac:dyDescent="0.45">
      <c r="A19" s="1">
        <v>-4.3</v>
      </c>
      <c r="B19">
        <f>Items!B$4+(1-Items!B$4)/(1+EXP(-Items!B$2*($A19-Items!B$3)))</f>
        <v>1.6626356107881622E-2</v>
      </c>
      <c r="C19">
        <f>Items!C$4+(1-Items!C$4)/(1+EXP(-Items!C$2*($A19-Items!C$3)))</f>
        <v>0.22764498422902124</v>
      </c>
      <c r="D19">
        <f>Items!D$4+(1-Items!D$4)/(1+EXP(-Items!D$2*($A19-Items!D$3)))</f>
        <v>0.10039139413310889</v>
      </c>
      <c r="E19">
        <f>Items!E$4+(1-Items!E$4)/(1+EXP(-Items!E$2*($A19-Items!E$3)))</f>
        <v>0.20002434524552046</v>
      </c>
      <c r="F19">
        <f>Items!F$4+(1-Items!F$4)/(1+EXP(-Items!F$2*($A19-Items!F$3)))</f>
        <v>6.6172404255704506E-4</v>
      </c>
    </row>
    <row r="20" spans="1:6" x14ac:dyDescent="0.45">
      <c r="A20" s="1">
        <v>-4.2</v>
      </c>
      <c r="B20">
        <f>Items!B$4+(1-Items!B$4)/(1+EXP(-Items!B$2*($A20-Items!B$3)))</f>
        <v>1.9646769947688696E-2</v>
      </c>
      <c r="C20">
        <f>Items!C$4+(1-Items!C$4)/(1+EXP(-Items!C$2*($A20-Items!C$3)))</f>
        <v>0.23015031240688474</v>
      </c>
      <c r="D20">
        <f>Items!D$4+(1-Items!D$4)/(1+EXP(-Items!D$2*($A20-Items!D$3)))</f>
        <v>0.10046854366669986</v>
      </c>
      <c r="E20">
        <f>Items!E$4+(1-Items!E$4)/(1+EXP(-Items!E$2*($A20-Items!E$3)))</f>
        <v>0.20002973514968234</v>
      </c>
      <c r="F20">
        <f>Items!F$4+(1-Items!F$4)/(1+EXP(-Items!F$2*($A20-Items!F$3)))</f>
        <v>7.4602883383669764E-4</v>
      </c>
    </row>
    <row r="21" spans="1:6" x14ac:dyDescent="0.45">
      <c r="A21" s="1">
        <v>-4.0999999999999996</v>
      </c>
      <c r="B21">
        <f>Items!B$4+(1-Items!B$4)/(1+EXP(-Items!B$2*($A21-Items!B$3)))</f>
        <v>2.3202938145644097E-2</v>
      </c>
      <c r="C21">
        <f>Items!C$4+(1-Items!C$4)/(1+EXP(-Items!C$2*($A21-Items!C$3)))</f>
        <v>0.23287302256037204</v>
      </c>
      <c r="D21">
        <f>Items!D$4+(1-Items!D$4)/(1+EXP(-Items!D$2*($A21-Items!D$3)))</f>
        <v>0.10056089102525921</v>
      </c>
      <c r="E21">
        <f>Items!E$4+(1-Items!E$4)/(1+EXP(-Items!E$2*($A21-Items!E$3)))</f>
        <v>0.20003631829496196</v>
      </c>
      <c r="F21">
        <f>Items!F$4+(1-Items!F$4)/(1+EXP(-Items!F$2*($A21-Items!F$3)))</f>
        <v>8.4106516230888139E-4</v>
      </c>
    </row>
    <row r="22" spans="1:6" x14ac:dyDescent="0.45">
      <c r="A22" s="1">
        <v>-4</v>
      </c>
      <c r="B22">
        <f>Items!B$4+(1-Items!B$4)/(1+EXP(-Items!B$2*($A22-Items!B$3)))</f>
        <v>2.7384810950125685E-2</v>
      </c>
      <c r="C22">
        <f>Items!C$4+(1-Items!C$4)/(1+EXP(-Items!C$2*($A22-Items!C$3)))</f>
        <v>0.2358301624398294</v>
      </c>
      <c r="D22">
        <f>Items!D$4+(1-Items!D$4)/(1+EXP(-Items!D$2*($A22-Items!D$3)))</f>
        <v>0.10067142595045303</v>
      </c>
      <c r="E22">
        <f>Items!E$4+(1-Items!E$4)/(1+EXP(-Items!E$2*($A22-Items!E$3)))</f>
        <v>0.20004435881977825</v>
      </c>
      <c r="F22">
        <f>Items!F$4+(1-Items!F$4)/(1+EXP(-Items!F$2*($A22-Items!F$3)))</f>
        <v>9.4819664435372543E-4</v>
      </c>
    </row>
    <row r="23" spans="1:6" x14ac:dyDescent="0.45">
      <c r="A23" s="1">
        <v>-3.9</v>
      </c>
      <c r="B23">
        <f>Items!B$4+(1-Items!B$4)/(1+EXP(-Items!B$2*($A23-Items!B$3)))</f>
        <v>3.2295464698450516E-2</v>
      </c>
      <c r="C23">
        <f>Items!C$4+(1-Items!C$4)/(1+EXP(-Items!C$2*($A23-Items!C$3)))</f>
        <v>0.23903977839904</v>
      </c>
      <c r="D23">
        <f>Items!D$4+(1-Items!D$4)/(1+EXP(-Items!D$2*($A23-Items!D$3)))</f>
        <v>0.10080372455406836</v>
      </c>
      <c r="E23">
        <f>Items!E$4+(1-Items!E$4)/(1+EXP(-Items!E$2*($A23-Items!E$3)))</f>
        <v>0.20005417931969582</v>
      </c>
      <c r="F23">
        <f>Items!F$4+(1-Items!F$4)/(1+EXP(-Items!F$2*($A23-Items!F$3)))</f>
        <v>1.0689595024419641E-3</v>
      </c>
    </row>
    <row r="24" spans="1:6" x14ac:dyDescent="0.45">
      <c r="A24" s="1">
        <v>-3.8</v>
      </c>
      <c r="B24">
        <f>Items!B$4+(1-Items!B$4)/(1+EXP(-Items!B$2*($A24-Items!B$3)))</f>
        <v>3.8052247070992105E-2</v>
      </c>
      <c r="C24">
        <f>Items!C$4+(1-Items!C$4)/(1+EXP(-Items!C$2*($A24-Items!C$3)))</f>
        <v>0.24252090911845098</v>
      </c>
      <c r="D24">
        <f>Items!D$4+(1-Items!D$4)/(1+EXP(-Items!D$2*($A24-Items!D$3)))</f>
        <v>0.10096206355219778</v>
      </c>
      <c r="E24">
        <f>Items!E$4+(1-Items!E$4)/(1+EXP(-Items!E$2*($A24-Items!E$3)))</f>
        <v>0.20006617377828134</v>
      </c>
      <c r="F24">
        <f>Items!F$4+(1-Items!F$4)/(1+EXP(-Items!F$2*($A24-Items!F$3)))</f>
        <v>1.205084233778948E-3</v>
      </c>
    </row>
    <row r="25" spans="1:6" x14ac:dyDescent="0.45">
      <c r="A25" s="1">
        <v>-3.7</v>
      </c>
      <c r="B25">
        <f>Items!B$4+(1-Items!B$4)/(1+EXP(-Items!B$2*($A25-Items!B$3)))</f>
        <v>4.4787703049786715E-2</v>
      </c>
      <c r="C25">
        <f>Items!C$4+(1-Items!C$4)/(1+EXP(-Items!C$2*($A25-Items!C$3)))</f>
        <v>0.24629356422108883</v>
      </c>
      <c r="D25">
        <f>Items!D$4+(1-Items!D$4)/(1+EXP(-Items!D$2*($A25-Items!D$3)))</f>
        <v>0.10115155642101671</v>
      </c>
      <c r="E25">
        <f>Items!E$4+(1-Items!E$4)/(1+EXP(-Items!E$2*($A25-Items!E$3)))</f>
        <v>0.20008082335512622</v>
      </c>
      <c r="F25">
        <f>Items!F$4+(1-Items!F$4)/(1+EXP(-Items!F$2*($A25-Items!F$3)))</f>
        <v>1.3585199504289591E-3</v>
      </c>
    </row>
    <row r="26" spans="1:6" x14ac:dyDescent="0.45">
      <c r="A26" s="1">
        <v>-3.6</v>
      </c>
      <c r="B26">
        <f>Items!B$4+(1-Items!B$4)/(1+EXP(-Items!B$2*($A26-Items!B$3)))</f>
        <v>5.2650118435302901E-2</v>
      </c>
      <c r="C26">
        <f>Items!C$4+(1-Items!C$4)/(1+EXP(-Items!C$2*($A26-Items!C$3)))</f>
        <v>0.25037868484559722</v>
      </c>
      <c r="D26">
        <f>Items!D$4+(1-Items!D$4)/(1+EXP(-Items!D$2*($A26-Items!D$3)))</f>
        <v>0.10137831553630296</v>
      </c>
      <c r="E26">
        <f>Items!E$4+(1-Items!E$4)/(1+EXP(-Items!E$2*($A26-Items!E$3)))</f>
        <v>0.20009871566078899</v>
      </c>
      <c r="F26">
        <f>Items!F$4+(1-Items!F$4)/(1+EXP(-Items!F$2*($A26-Items!F$3)))</f>
        <v>1.5314617070032849E-3</v>
      </c>
    </row>
    <row r="27" spans="1:6" x14ac:dyDescent="0.45">
      <c r="A27" s="1">
        <v>-3.5000000000000102</v>
      </c>
      <c r="B27">
        <f>Items!B$4+(1-Items!B$4)/(1+EXP(-Items!B$2*($A27-Items!B$3)))</f>
        <v>6.180346626358757E-2</v>
      </c>
      <c r="C27">
        <f>Items!C$4+(1-Items!C$4)/(1+EXP(-Items!C$2*($A27-Items!C$3)))</f>
        <v>0.25479808297946044</v>
      </c>
      <c r="D27">
        <f>Items!D$4+(1-Items!D$4)/(1+EXP(-Items!D$2*($A27-Items!D$3)))</f>
        <v>0.1016496450482435</v>
      </c>
      <c r="E27">
        <f>Items!E$4+(1-Items!E$4)/(1+EXP(-Items!E$2*($A27-Items!E$3)))</f>
        <v>0.20012056828644781</v>
      </c>
      <c r="F27">
        <f>Items!F$4+(1-Items!F$4)/(1+EXP(-Items!F$2*($A27-Items!F$3)))</f>
        <v>1.7263811657371314E-3</v>
      </c>
    </row>
    <row r="28" spans="1:6" x14ac:dyDescent="0.45">
      <c r="A28" s="1">
        <v>-3.4000000000000101</v>
      </c>
      <c r="B28">
        <f>Items!B$4+(1-Items!B$4)/(1+EXP(-Items!B$2*($A28-Items!B$3)))</f>
        <v>7.2426485361516565E-2</v>
      </c>
      <c r="C28">
        <f>Items!C$4+(1-Items!C$4)/(1+EXP(-Items!C$2*($A28-Items!C$3)))</f>
        <v>0.25957435613282198</v>
      </c>
      <c r="D28">
        <f>Items!D$4+(1-Items!D$4)/(1+EXP(-Items!D$2*($A28-Items!D$3)))</f>
        <v>0.10197427002103784</v>
      </c>
      <c r="E28">
        <f>Items!E$4+(1-Items!E$4)/(1+EXP(-Items!E$2*($A28-Items!E$3)))</f>
        <v>0.20014725752397075</v>
      </c>
      <c r="F28">
        <f>Items!F$4+(1-Items!F$4)/(1+EXP(-Items!F$2*($A28-Items!F$3)))</f>
        <v>1.9460609850855358E-3</v>
      </c>
    </row>
    <row r="29" spans="1:6" x14ac:dyDescent="0.45">
      <c r="A29" s="1">
        <v>-3.30000000000001</v>
      </c>
      <c r="B29">
        <f>Items!B$4+(1-Items!B$4)/(1+EXP(-Items!B$2*($A29-Items!B$3)))</f>
        <v>8.4710565730734461E-2</v>
      </c>
      <c r="C29">
        <f>Items!C$4+(1-Items!C$4)/(1+EXP(-Items!C$2*($A29-Items!C$3)))</f>
        <v>0.26473077377237175</v>
      </c>
      <c r="D29">
        <f>Items!D$4+(1-Items!D$4)/(1+EXP(-Items!D$2*($A29-Items!D$3)))</f>
        <v>0.10236260823099413</v>
      </c>
      <c r="E29">
        <f>Items!E$4+(1-Items!E$4)/(1+EXP(-Items!E$2*($A29-Items!E$3)))</f>
        <v>0.20017985341618663</v>
      </c>
      <c r="F29">
        <f>Items!F$4+(1-Items!F$4)/(1+EXP(-Items!F$2*($A29-Items!F$3)))</f>
        <v>2.1936333567087185E-3</v>
      </c>
    </row>
    <row r="30" spans="1:6" x14ac:dyDescent="0.45">
      <c r="A30" s="1">
        <v>-3.2000000000000099</v>
      </c>
      <c r="B30">
        <f>Items!B$4+(1-Items!B$4)/(1+EXP(-Items!B$2*($A30-Items!B$3)))</f>
        <v>9.8856073178167872E-2</v>
      </c>
      <c r="C30">
        <f>Items!C$4+(1-Items!C$4)/(1+EXP(-Items!C$2*($A30-Items!C$3)))</f>
        <v>0.27029113186344045</v>
      </c>
      <c r="D30">
        <f>Items!D$4+(1-Items!D$4)/(1+EXP(-Items!D$2*($A30-Items!D$3)))</f>
        <v>0.10282709195634644</v>
      </c>
      <c r="E30">
        <f>Items!E$4+(1-Items!E$4)/(1+EXP(-Items!E$2*($A30-Items!E$3)))</f>
        <v>0.20021966252488108</v>
      </c>
      <c r="F30">
        <f>Items!F$4+(1-Items!F$4)/(1+EXP(-Items!F$2*($A30-Items!F$3)))</f>
        <v>2.4726231566347457E-3</v>
      </c>
    </row>
    <row r="31" spans="1:6" x14ac:dyDescent="0.45">
      <c r="A31" s="1">
        <v>-3.1000000000000099</v>
      </c>
      <c r="B31">
        <f>Items!B$4+(1-Items!B$4)/(1+EXP(-Items!B$2*($A31-Items!B$3)))</f>
        <v>0.11506673204554808</v>
      </c>
      <c r="C31">
        <f>Items!C$4+(1-Items!C$4)/(1+EXP(-Items!C$2*($A31-Items!C$3)))</f>
        <v>0.27627957191928698</v>
      </c>
      <c r="D31">
        <f>Items!D$4+(1-Items!D$4)/(1+EXP(-Items!D$2*($A31-Items!D$3)))</f>
        <v>0.10338254808265067</v>
      </c>
      <c r="E31">
        <f>Items!E$4+(1-Items!E$4)/(1+EXP(-Items!E$2*($A31-Items!E$3)))</f>
        <v>0.2002682801043732</v>
      </c>
      <c r="F31">
        <f>Items!F$4+(1-Items!F$4)/(1+EXP(-Items!F$2*($A31-Items!F$3)))</f>
        <v>2.7869962190422469E-3</v>
      </c>
    </row>
    <row r="32" spans="1:6" x14ac:dyDescent="0.45">
      <c r="A32" s="1">
        <v>-3.0000000000000102</v>
      </c>
      <c r="B32">
        <f>Items!B$4+(1-Items!B$4)/(1+EXP(-Items!B$2*($A32-Items!B$3)))</f>
        <v>0.13354172253321045</v>
      </c>
      <c r="C32">
        <f>Items!C$4+(1-Items!C$4)/(1+EXP(-Items!C$2*($A32-Items!C$3)))</f>
        <v>0.28272036116659904</v>
      </c>
      <c r="D32">
        <f>Items!D$4+(1-Items!D$4)/(1+EXP(-Items!D$2*($A32-Items!D$3)))</f>
        <v>0.10404664584484699</v>
      </c>
      <c r="E32">
        <f>Items!E$4+(1-Items!E$4)/(1+EXP(-Items!E$2*($A32-Items!E$3)))</f>
        <v>0.20032765373198885</v>
      </c>
      <c r="F32">
        <f>Items!F$4+(1-Items!F$4)/(1+EXP(-Items!F$2*($A32-Items!F$3)))</f>
        <v>3.1412132848293883E-3</v>
      </c>
    </row>
    <row r="33" spans="1:6" x14ac:dyDescent="0.45">
      <c r="A33" s="1">
        <v>-2.9000000000000101</v>
      </c>
      <c r="B33">
        <f>Items!B$4+(1-Items!B$4)/(1+EXP(-Items!B$2*($A33-Items!B$3)))</f>
        <v>0.15446526508353245</v>
      </c>
      <c r="C33">
        <f>Items!C$4+(1-Items!C$4)/(1+EXP(-Items!C$2*($A33-Items!C$3)))</f>
        <v>0.28963763084559158</v>
      </c>
      <c r="D33">
        <f>Items!D$4+(1-Items!D$4)/(1+EXP(-Items!D$2*($A33-Items!D$3)))</f>
        <v>0.10484042245646366</v>
      </c>
      <c r="E33">
        <f>Items!E$4+(1-Items!E$4)/(1+EXP(-Items!E$2*($A33-Items!E$3)))</f>
        <v>0.20040016088566365</v>
      </c>
      <c r="F33">
        <f>Items!F$4+(1-Items!F$4)/(1+EXP(-Items!F$2*($A33-Items!F$3)))</f>
        <v>3.5402902209464627E-3</v>
      </c>
    </row>
    <row r="34" spans="1:6" x14ac:dyDescent="0.45">
      <c r="A34" s="1">
        <v>-2.80000000000001</v>
      </c>
      <c r="B34">
        <f>Items!B$4+(1-Items!B$4)/(1+EXP(-Items!B$2*($A34-Items!B$3)))</f>
        <v>0.17799368578624397</v>
      </c>
      <c r="C34">
        <f>Items!C$4+(1-Items!C$4)/(1+EXP(-Items!C$2*($A34-Items!C$3)))</f>
        <v>0.29705507031338874</v>
      </c>
      <c r="D34">
        <f>Items!D$4+(1-Items!D$4)/(1+EXP(-Items!D$2*($A34-Items!D$3)))</f>
        <v>0.10578889762022667</v>
      </c>
      <c r="E34">
        <f>Items!E$4+(1-Items!E$4)/(1+EXP(-Items!E$2*($A34-Items!E$3)))</f>
        <v>0.20048870348754752</v>
      </c>
      <c r="F34">
        <f>Items!F$4+(1-Items!F$4)/(1+EXP(-Items!F$2*($A34-Items!F$3)))</f>
        <v>3.9898651489940545E-3</v>
      </c>
    </row>
    <row r="35" spans="1:6" x14ac:dyDescent="0.45">
      <c r="A35" s="1">
        <v>-2.7000000000000099</v>
      </c>
      <c r="B35">
        <f>Items!B$4+(1-Items!B$4)/(1+EXP(-Items!B$2*($A35-Items!B$3)))</f>
        <v>0.20424030228408901</v>
      </c>
      <c r="C35">
        <f>Items!C$4+(1-Items!C$4)/(1+EXP(-Items!C$2*($A35-Items!C$3)))</f>
        <v>0.30499557555081785</v>
      </c>
      <c r="D35">
        <f>Items!D$4+(1-Items!D$4)/(1+EXP(-Items!D$2*($A35-Items!D$3)))</f>
        <v>0.10692178829335738</v>
      </c>
      <c r="E35">
        <f>Items!E$4+(1-Items!E$4)/(1+EXP(-Items!E$2*($A35-Items!E$3)))</f>
        <v>0.20059682306706936</v>
      </c>
      <c r="F35">
        <f>Items!F$4+(1-Items!F$4)/(1+EXP(-Items!F$2*($A35-Items!F$3)))</f>
        <v>4.496273160941127E-3</v>
      </c>
    </row>
    <row r="36" spans="1:6" x14ac:dyDescent="0.45">
      <c r="A36" s="1">
        <v>-2.6000000000000099</v>
      </c>
      <c r="B36">
        <f>Items!B$4+(1-Items!B$4)/(1+EXP(-Items!B$2*($A36-Items!B$3)))</f>
        <v>0.23325893577145421</v>
      </c>
      <c r="C36">
        <f>Items!C$4+(1-Items!C$4)/(1+EXP(-Items!C$2*($A36-Items!C$3)))</f>
        <v>0.31348085192038938</v>
      </c>
      <c r="D36">
        <f>Items!D$4+(1-Items!D$4)/(1+EXP(-Items!D$2*($A36-Items!D$3)))</f>
        <v>0.10827433483055915</v>
      </c>
      <c r="E36">
        <f>Items!E$4+(1-Items!E$4)/(1+EXP(-Items!E$2*($A36-Items!E$3)))</f>
        <v>0.20072884095552052</v>
      </c>
      <c r="F36">
        <f>Items!F$4+(1-Items!F$4)/(1+EXP(-Items!F$2*($A36-Items!F$3)))</f>
        <v>5.0666293334661961E-3</v>
      </c>
    </row>
    <row r="37" spans="1:6" x14ac:dyDescent="0.45">
      <c r="A37" s="1">
        <v>-2.5000000000000102</v>
      </c>
      <c r="B37">
        <f>Items!B$4+(1-Items!B$4)/(1+EXP(-Items!B$2*($A37-Items!B$3)))</f>
        <v>0.26502740053347779</v>
      </c>
      <c r="C37">
        <f>Items!C$4+(1-Items!C$4)/(1+EXP(-Items!C$2*($A37-Items!C$3)))</f>
        <v>0.32253097261206803</v>
      </c>
      <c r="D37">
        <f>Items!D$4+(1-Items!D$4)/(1+EXP(-Items!D$2*($A37-Items!D$3)))</f>
        <v>0.10988824836753369</v>
      </c>
      <c r="E37">
        <f>Items!E$4+(1-Items!E$4)/(1+EXP(-Items!E$2*($A37-Items!E$3)))</f>
        <v>0.20089002882628826</v>
      </c>
      <c r="F37">
        <f>Items!F$4+(1-Items!F$4)/(1+EXP(-Items!F$2*($A37-Items!F$3)))</f>
        <v>5.7089207770232723E-3</v>
      </c>
    </row>
    <row r="38" spans="1:6" x14ac:dyDescent="0.45">
      <c r="A38" s="1">
        <v>-2.4000000000000101</v>
      </c>
      <c r="B38">
        <f>Items!B$4+(1-Items!B$4)/(1+EXP(-Items!B$2*($A38-Items!B$3)))</f>
        <v>0.29943285752602339</v>
      </c>
      <c r="C38">
        <f>Items!C$4+(1-Items!C$4)/(1+EXP(-Items!C$2*($A38-Items!C$3)))</f>
        <v>0.3321638961524907</v>
      </c>
      <c r="D38">
        <f>Items!D$4+(1-Items!D$4)/(1+EXP(-Items!D$2*($A38-Items!D$3)))</f>
        <v>0.11181278650339231</v>
      </c>
      <c r="E38">
        <f>Items!E$4+(1-Items!E$4)/(1+EXP(-Items!E$2*($A38-Items!E$3)))</f>
        <v>0.20108681596034317</v>
      </c>
      <c r="F38">
        <f>Items!F$4+(1-Items!F$4)/(1+EXP(-Items!F$2*($A38-Items!F$3)))</f>
        <v>6.4321084669185617E-3</v>
      </c>
    </row>
    <row r="39" spans="1:6" x14ac:dyDescent="0.45">
      <c r="A39" s="1">
        <v>-2.30000000000001</v>
      </c>
      <c r="B39">
        <f>Items!B$4+(1-Items!B$4)/(1+EXP(-Items!B$2*($A39-Items!B$3)))</f>
        <v>0.33626130259564352</v>
      </c>
      <c r="C39">
        <f>Items!C$4+(1-Items!C$4)/(1+EXP(-Items!C$2*($A39-Items!C$3)))</f>
        <v>0.34239494862899617</v>
      </c>
      <c r="D39">
        <f>Items!D$4+(1-Items!D$4)/(1+EXP(-Items!D$2*($A39-Items!D$3)))</f>
        <v>0.11410595925944346</v>
      </c>
      <c r="E39">
        <f>Items!E$4+(1-Items!E$4)/(1+EXP(-Items!E$2*($A39-Items!E$3)))</f>
        <v>0.20132704086413952</v>
      </c>
      <c r="F39">
        <f>Items!F$4+(1-Items!F$4)/(1+EXP(-Items!F$2*($A39-Items!F$3)))</f>
        <v>7.2462395958313398E-3</v>
      </c>
    </row>
    <row r="40" spans="1:6" x14ac:dyDescent="0.45">
      <c r="A40" s="1">
        <v>-2.2000000000000099</v>
      </c>
      <c r="B40">
        <f>Items!B$4+(1-Items!B$4)/(1+EXP(-Items!B$2*($A40-Items!B$3)))</f>
        <v>0.37519352553156676</v>
      </c>
      <c r="C40">
        <f>Items!C$4+(1-Items!C$4)/(1+EXP(-Items!C$2*($A40-Items!C$3)))</f>
        <v>0.35323627884917291</v>
      </c>
      <c r="D40">
        <f>Items!D$4+(1-Items!D$4)/(1+EXP(-Items!D$2*($A40-Items!D$3)))</f>
        <v>0.11683585895891885</v>
      </c>
      <c r="E40">
        <f>Items!E$4+(1-Items!E$4)/(1+EXP(-Items!E$2*($A40-Items!E$3)))</f>
        <v>0.20162025631123989</v>
      </c>
      <c r="F40">
        <f>Items!F$4+(1-Items!F$4)/(1+EXP(-Items!F$2*($A40-Items!F$3)))</f>
        <v>8.162571153159803E-3</v>
      </c>
    </row>
    <row r="41" spans="1:6" x14ac:dyDescent="0.45">
      <c r="A41" s="1">
        <v>-2.1000000000000099</v>
      </c>
      <c r="B41">
        <f>Items!B$4+(1-Items!B$4)/(1+EXP(-Items!B$2*($A41-Items!B$3)))</f>
        <v>0.41580947706458854</v>
      </c>
      <c r="C41">
        <f>Items!C$4+(1-Items!C$4)/(1+EXP(-Items!C$2*($A41-Items!C$3)))</f>
        <v>0.36469629744075671</v>
      </c>
      <c r="D41">
        <f>Items!D$4+(1-Items!D$4)/(1+EXP(-Items!D$2*($A41-Items!D$3)))</f>
        <v>0.12008209482912867</v>
      </c>
      <c r="E41">
        <f>Items!E$4+(1-Items!E$4)/(1+EXP(-Items!E$2*($A41-Items!E$3)))</f>
        <v>0.20197809852530779</v>
      </c>
      <c r="F41">
        <f>Items!F$4+(1-Items!F$4)/(1+EXP(-Items!F$2*($A41-Items!F$3)))</f>
        <v>9.1937053672879812E-3</v>
      </c>
    </row>
    <row r="42" spans="1:6" x14ac:dyDescent="0.45">
      <c r="A42" s="1">
        <v>-2.0000000000000102</v>
      </c>
      <c r="B42">
        <f>Items!B$4+(1-Items!B$4)/(1+EXP(-Items!B$2*($A42-Items!B$3)))</f>
        <v>0.45760205922564468</v>
      </c>
      <c r="C42">
        <f>Items!C$4+(1-Items!C$4)/(1+EXP(-Items!C$2*($A42-Items!C$3)))</f>
        <v>0.37677911377614903</v>
      </c>
      <c r="D42">
        <f>Items!D$4+(1-Items!D$4)/(1+EXP(-Items!D$2*($A42-Items!D$3)))</f>
        <v>0.12393729421917885</v>
      </c>
      <c r="E42">
        <f>Items!E$4+(1-Items!E$4)/(1+EXP(-Items!E$2*($A42-Items!E$3)))</f>
        <v>0.2024147330597667</v>
      </c>
      <c r="F42">
        <f>Items!F$4+(1-Items!F$4)/(1+EXP(-Items!F$2*($A42-Items!F$3)))</f>
        <v>1.0353737531091624E-2</v>
      </c>
    </row>
    <row r="43" spans="1:6" x14ac:dyDescent="0.45">
      <c r="A43" s="1">
        <v>-1.9000000000000099</v>
      </c>
      <c r="B43">
        <f>Items!B$4+(1-Items!B$4)/(1+EXP(-Items!B$2*($A43-Items!B$3)))</f>
        <v>0.49999999999999578</v>
      </c>
      <c r="C43">
        <f>Items!C$4+(1-Items!C$4)/(1+EXP(-Items!C$2*($A43-Items!C$3)))</f>
        <v>0.38948398741851437</v>
      </c>
      <c r="D43">
        <f>Items!D$4+(1-Items!D$4)/(1+EXP(-Items!D$2*($A43-Items!D$3)))</f>
        <v>0.12850860554115029</v>
      </c>
      <c r="E43">
        <f>Items!E$4+(1-Items!E$4)/(1+EXP(-Items!E$2*($A43-Items!E$3)))</f>
        <v>0.20294739191954875</v>
      </c>
      <c r="F43">
        <f>Items!F$4+(1-Items!F$4)/(1+EXP(-Items!F$2*($A43-Items!F$3)))</f>
        <v>1.1658416554832962E-2</v>
      </c>
    </row>
    <row r="44" spans="1:6" x14ac:dyDescent="0.45">
      <c r="A44" s="1">
        <v>-1.80000000000001</v>
      </c>
      <c r="B44">
        <f>Items!B$4+(1-Items!B$4)/(1+EXP(-Items!B$2*($A44-Items!B$3)))</f>
        <v>0.54239794077434667</v>
      </c>
      <c r="C44">
        <f>Items!C$4+(1-Items!C$4)/(1+EXP(-Items!C$2*($A44-Items!C$3)))</f>
        <v>0.40280481332986895</v>
      </c>
      <c r="D44">
        <f>Items!D$4+(1-Items!D$4)/(1+EXP(-Items!D$2*($A44-Items!D$3)))</f>
        <v>0.13391910145774474</v>
      </c>
      <c r="E44">
        <f>Items!E$4+(1-Items!E$4)/(1+EXP(-Items!E$2*($A44-Items!E$3)))</f>
        <v>0.20359701852875289</v>
      </c>
      <c r="F44">
        <f>Items!F$4+(1-Items!F$4)/(1+EXP(-Items!F$2*($A44-Items!F$3)))</f>
        <v>1.3125318337102648E-2</v>
      </c>
    </row>
    <row r="45" spans="1:6" x14ac:dyDescent="0.45">
      <c r="A45" s="1">
        <v>-1.7000000000000099</v>
      </c>
      <c r="B45">
        <f>Items!B$4+(1-Items!B$4)/(1+EXP(-Items!B$2*($A45-Items!B$3)))</f>
        <v>0.58419052293540319</v>
      </c>
      <c r="C45">
        <f>Items!C$4+(1-Items!C$4)/(1+EXP(-Items!C$2*($A45-Items!C$3)))</f>
        <v>0.4167296621205534</v>
      </c>
      <c r="D45">
        <f>Items!D$4+(1-Items!D$4)/(1+EXP(-Items!D$2*($A45-Items!D$3)))</f>
        <v>0.14030893274480738</v>
      </c>
      <c r="E45">
        <f>Items!E$4+(1-Items!E$4)/(1+EXP(-Items!E$2*($A45-Items!E$3)))</f>
        <v>0.20438903911956025</v>
      </c>
      <c r="F45">
        <f>Items!F$4+(1-Items!F$4)/(1+EXP(-Items!F$2*($A45-Items!F$3)))</f>
        <v>1.4774031693272887E-2</v>
      </c>
    </row>
    <row r="46" spans="1:6" x14ac:dyDescent="0.45">
      <c r="A46" s="1">
        <v>-1.6000000000000101</v>
      </c>
      <c r="B46">
        <f>Items!B$4+(1-Items!B$4)/(1+EXP(-Items!B$2*($A46-Items!B$3)))</f>
        <v>0.62480647446842519</v>
      </c>
      <c r="C46">
        <f>Items!C$4+(1-Items!C$4)/(1+EXP(-Items!C$2*($A46-Items!C$3)))</f>
        <v>0.43124039789999535</v>
      </c>
      <c r="D46">
        <f>Items!D$4+(1-Items!D$4)/(1+EXP(-Items!D$2*($A46-Items!D$3)))</f>
        <v>0.14783602275825652</v>
      </c>
      <c r="E46">
        <f>Items!E$4+(1-Items!E$4)/(1+EXP(-Items!E$2*($A46-Items!E$3)))</f>
        <v>0.2053542807394278</v>
      </c>
      <c r="F46">
        <f>Items!F$4+(1-Items!F$4)/(1+EXP(-Items!F$2*($A46-Items!F$3)))</f>
        <v>1.6626356107881435E-2</v>
      </c>
    </row>
    <row r="47" spans="1:6" x14ac:dyDescent="0.45">
      <c r="A47" s="1">
        <v>-1.50000000000001</v>
      </c>
      <c r="B47">
        <f>Items!B$4+(1-Items!B$4)/(1+EXP(-Items!B$2*($A47-Items!B$3)))</f>
        <v>0.66373869740434888</v>
      </c>
      <c r="C47">
        <f>Items!C$4+(1-Items!C$4)/(1+EXP(-Items!C$2*($A47-Items!C$3)))</f>
        <v>0.44631239655856797</v>
      </c>
      <c r="D47">
        <f>Items!D$4+(1-Items!D$4)/(1+EXP(-Items!D$2*($A47-Items!D$3)))</f>
        <v>0.15667602045129589</v>
      </c>
      <c r="E47">
        <f>Items!E$4+(1-Items!E$4)/(1+EXP(-Items!E$2*($A47-Items!E$3)))</f>
        <v>0.20653005692252779</v>
      </c>
      <c r="F47">
        <f>Items!F$4+(1-Items!F$4)/(1+EXP(-Items!F$2*($A47-Items!F$3)))</f>
        <v>1.8706509954354383E-2</v>
      </c>
    </row>
    <row r="48" spans="1:6" x14ac:dyDescent="0.45">
      <c r="A48" s="1">
        <v>-1.4000000000000099</v>
      </c>
      <c r="B48">
        <f>Items!B$4+(1-Items!B$4)/(1+EXP(-Items!B$2*($A48-Items!B$3)))</f>
        <v>0.70056714247396934</v>
      </c>
      <c r="C48">
        <f>Items!C$4+(1-Items!C$4)/(1+EXP(-Items!C$2*($A48-Items!C$3)))</f>
        <v>0.46191438634579007</v>
      </c>
      <c r="D48">
        <f>Items!D$4+(1-Items!D$4)/(1+EXP(-Items!D$2*($A48-Items!D$3)))</f>
        <v>0.16702115064942419</v>
      </c>
      <c r="E48">
        <f>Items!E$4+(1-Items!E$4)/(1+EXP(-Items!E$2*($A48-Items!E$3)))</f>
        <v>0.2079614414935233</v>
      </c>
      <c r="F48">
        <f>Items!F$4+(1-Items!F$4)/(1+EXP(-Items!F$2*($A48-Items!F$3)))</f>
        <v>2.1041347020468035E-2</v>
      </c>
    </row>
    <row r="49" spans="1:6" x14ac:dyDescent="0.45">
      <c r="A49" s="1">
        <v>-1.30000000000001</v>
      </c>
      <c r="B49">
        <f>Items!B$4+(1-Items!B$4)/(1+EXP(-Items!B$2*($A49-Items!B$3)))</f>
        <v>0.73497259946651539</v>
      </c>
      <c r="C49">
        <f>Items!C$4+(1-Items!C$4)/(1+EXP(-Items!C$2*($A49-Items!C$3)))</f>
        <v>0.47800843024580281</v>
      </c>
      <c r="D49">
        <f>Items!D$4+(1-Items!D$4)/(1+EXP(-Items!D$2*($A49-Items!D$3)))</f>
        <v>0.17907752334636981</v>
      </c>
      <c r="E49">
        <f>Items!E$4+(1-Items!E$4)/(1+EXP(-Items!E$2*($A49-Items!E$3)))</f>
        <v>0.20970274798741922</v>
      </c>
      <c r="F49">
        <f>Items!F$4+(1-Items!F$4)/(1+EXP(-Items!F$2*($A49-Items!F$3)))</f>
        <v>2.3660578155460927E-2</v>
      </c>
    </row>
    <row r="50" spans="1:6" x14ac:dyDescent="0.45">
      <c r="A50" s="1">
        <v>-1.2000000000000099</v>
      </c>
      <c r="B50">
        <f>Items!B$4+(1-Items!B$4)/(1+EXP(-Items!B$2*($A50-Items!B$3)))</f>
        <v>0.76674106422853971</v>
      </c>
      <c r="C50">
        <f>Items!C$4+(1-Items!C$4)/(1+EXP(-Items!C$2*($A50-Items!C$3)))</f>
        <v>0.49455006581111705</v>
      </c>
      <c r="D50">
        <f>Items!D$4+(1-Items!D$4)/(1+EXP(-Items!D$2*($A50-Items!D$3)))</f>
        <v>0.19306040631242313</v>
      </c>
      <c r="E50">
        <f>Items!E$4+(1-Items!E$4)/(1+EXP(-Items!E$2*($A50-Items!E$3)))</f>
        <v>0.21181922535461822</v>
      </c>
      <c r="F50">
        <f>Items!F$4+(1-Items!F$4)/(1+EXP(-Items!F$2*($A50-Items!F$3)))</f>
        <v>2.6596993576865555E-2</v>
      </c>
    </row>
    <row r="51" spans="1:6" x14ac:dyDescent="0.45">
      <c r="A51" s="1">
        <v>-1.1000000000000101</v>
      </c>
      <c r="B51">
        <f>Items!B$4+(1-Items!B$4)/(1+EXP(-Items!B$2*($A51-Items!B$3)))</f>
        <v>0.79575969771590549</v>
      </c>
      <c r="C51">
        <f>Items!C$4+(1-Items!C$4)/(1+EXP(-Items!C$2*($A51-Items!C$3)))</f>
        <v>0.51148861284062075</v>
      </c>
      <c r="D51">
        <f>Items!D$4+(1-Items!D$4)/(1+EXP(-Items!D$2*($A51-Items!D$3)))</f>
        <v>0.20918695410256144</v>
      </c>
      <c r="E51">
        <f>Items!E$4+(1-Items!E$4)/(1+EXP(-Items!E$2*($A51-Items!E$3)))</f>
        <v>0.21438896796967297</v>
      </c>
      <c r="F51">
        <f>Items!F$4+(1-Items!F$4)/(1+EXP(-Items!F$2*($A51-Items!F$3)))</f>
        <v>2.9886679803635886E-2</v>
      </c>
    </row>
    <row r="52" spans="1:6" x14ac:dyDescent="0.45">
      <c r="A52" s="1">
        <v>-1.00000000000001</v>
      </c>
      <c r="B52">
        <f>Items!B$4+(1-Items!B$4)/(1+EXP(-Items!B$2*($A52-Items!B$3)))</f>
        <v>0.82200631421375092</v>
      </c>
      <c r="C52">
        <f>Items!C$4+(1-Items!C$4)/(1+EXP(-Items!C$2*($A52-Items!C$3)))</f>
        <v>0.52876765275306625</v>
      </c>
      <c r="D52">
        <f>Items!D$4+(1-Items!D$4)/(1+EXP(-Items!D$2*($A52-Items!D$3)))</f>
        <v>0.22766595841043705</v>
      </c>
      <c r="E52">
        <f>Items!E$4+(1-Items!E$4)/(1+EXP(-Items!E$2*($A52-Items!E$3)))</f>
        <v>0.21750501674890405</v>
      </c>
      <c r="F52">
        <f>Items!F$4+(1-Items!F$4)/(1+EXP(-Items!F$2*($A52-Items!F$3)))</f>
        <v>3.3569223281482131E-2</v>
      </c>
    </row>
    <row r="53" spans="1:6" x14ac:dyDescent="0.45">
      <c r="A53" s="1">
        <v>-0.90000000000001001</v>
      </c>
      <c r="B53">
        <f>Items!B$4+(1-Items!B$4)/(1+EXP(-Items!B$2*($A53-Items!B$3)))</f>
        <v>0.84553473491646303</v>
      </c>
      <c r="C53">
        <f>Items!C$4+(1-Items!C$4)/(1+EXP(-Items!C$2*($A53-Items!C$3)))</f>
        <v>0.54632567602763471</v>
      </c>
      <c r="D53">
        <f>Items!D$4+(1-Items!D$4)/(1+EXP(-Items!D$2*($A53-Items!D$3)))</f>
        <v>0.24868438317155092</v>
      </c>
      <c r="E53">
        <f>Items!E$4+(1-Items!E$4)/(1+EXP(-Items!E$2*($A53-Items!E$3)))</f>
        <v>0.22127759486149229</v>
      </c>
      <c r="F53">
        <f>Items!F$4+(1-Items!F$4)/(1+EXP(-Items!F$2*($A53-Items!F$3)))</f>
        <v>3.7687890508605493E-2</v>
      </c>
    </row>
    <row r="54" spans="1:6" x14ac:dyDescent="0.45">
      <c r="A54" s="1">
        <v>-0.80000000000001004</v>
      </c>
      <c r="B54">
        <f>Items!B$4+(1-Items!B$4)/(1+EXP(-Items!B$2*($A54-Items!B$3)))</f>
        <v>0.86645827746678561</v>
      </c>
      <c r="C54">
        <f>Items!C$4+(1-Items!C$4)/(1+EXP(-Items!C$2*($A54-Items!C$3)))</f>
        <v>0.56409688610113418</v>
      </c>
      <c r="D54">
        <f>Items!D$4+(1-Items!D$4)/(1+EXP(-Items!D$2*($A54-Items!D$3)))</f>
        <v>0.27239081370531826</v>
      </c>
      <c r="E54">
        <f>Items!E$4+(1-Items!E$4)/(1+EXP(-Items!E$2*($A54-Items!E$3)))</f>
        <v>0.22583637175875992</v>
      </c>
      <c r="F54">
        <f>Items!F$4+(1-Items!F$4)/(1+EXP(-Items!F$2*($A54-Items!F$3)))</f>
        <v>4.2289771842033301E-2</v>
      </c>
    </row>
    <row r="55" spans="1:6" x14ac:dyDescent="0.45">
      <c r="A55" s="1">
        <v>-0.70000000000002005</v>
      </c>
      <c r="B55">
        <f>Items!B$4+(1-Items!B$4)/(1+EXP(-Items!B$2*($A55-Items!B$3)))</f>
        <v>0.88493326795444671</v>
      </c>
      <c r="C55">
        <f>Items!C$4+(1-Items!C$4)/(1+EXP(-Items!C$2*($A55-Items!C$3)))</f>
        <v>0.58201214016655634</v>
      </c>
      <c r="D55">
        <f>Items!D$4+(1-Items!D$4)/(1+EXP(-Items!D$2*($A55-Items!D$3)))</f>
        <v>0.29887650299816348</v>
      </c>
      <c r="E55">
        <f>Items!E$4+(1-Items!E$4)/(1+EXP(-Items!E$2*($A55-Items!E$3)))</f>
        <v>0.2313325782374103</v>
      </c>
      <c r="F55">
        <f>Items!F$4+(1-Items!F$4)/(1+EXP(-Items!F$2*($A55-Items!F$3)))</f>
        <v>4.7425873177565692E-2</v>
      </c>
    </row>
    <row r="56" spans="1:6" x14ac:dyDescent="0.45">
      <c r="A56" s="1">
        <v>-0.60000000000001996</v>
      </c>
      <c r="B56">
        <f>Items!B$4+(1-Items!B$4)/(1+EXP(-Items!B$2*($A56-Items!B$3)))</f>
        <v>0.90114392682182753</v>
      </c>
      <c r="C56">
        <f>Items!C$4+(1-Items!C$4)/(1+EXP(-Items!C$2*($A56-Items!C$3)))</f>
        <v>0.59999999999999654</v>
      </c>
      <c r="D56">
        <f>Items!D$4+(1-Items!D$4)/(1+EXP(-Items!D$2*($A56-Items!D$3)))</f>
        <v>0.3281554149960979</v>
      </c>
      <c r="E56">
        <f>Items!E$4+(1-Items!E$4)/(1+EXP(-Items!E$2*($A56-Items!E$3)))</f>
        <v>0.23794069854205199</v>
      </c>
      <c r="F56">
        <f>Items!F$4+(1-Items!F$4)/(1+EXP(-Items!F$2*($A56-Items!F$3)))</f>
        <v>5.3151136398062522E-2</v>
      </c>
    </row>
    <row r="57" spans="1:6" x14ac:dyDescent="0.45">
      <c r="A57" s="1">
        <v>-0.50000000000001998</v>
      </c>
      <c r="B57">
        <f>Items!B$4+(1-Items!B$4)/(1+EXP(-Items!B$2*($A57-Items!B$3)))</f>
        <v>0.91528943426926168</v>
      </c>
      <c r="C57">
        <f>Items!C$4+(1-Items!C$4)/(1+EXP(-Items!C$2*($A57-Items!C$3)))</f>
        <v>0.61798785983343651</v>
      </c>
      <c r="D57">
        <f>Items!D$4+(1-Items!D$4)/(1+EXP(-Items!D$2*($A57-Items!D$3)))</f>
        <v>0.36014544763748979</v>
      </c>
      <c r="E57">
        <f>Items!E$4+(1-Items!E$4)/(1+EXP(-Items!E$2*($A57-Items!E$3)))</f>
        <v>0.24585934071909329</v>
      </c>
      <c r="F57">
        <f>Items!F$4+(1-Items!F$4)/(1+EXP(-Items!F$2*($A57-Items!F$3)))</f>
        <v>5.9524365976500147E-2</v>
      </c>
    </row>
    <row r="58" spans="1:6" x14ac:dyDescent="0.45">
      <c r="A58" s="1">
        <v>-0.40000000000002001</v>
      </c>
      <c r="B58">
        <f>Items!B$4+(1-Items!B$4)/(1+EXP(-Items!B$2*($A58-Items!B$3)))</f>
        <v>0.92757351463847992</v>
      </c>
      <c r="C58">
        <f>Items!C$4+(1-Items!C$4)/(1+EXP(-Items!C$2*($A58-Items!C$3)))</f>
        <v>0.63590311389886045</v>
      </c>
      <c r="D58">
        <f>Items!D$4+(1-Items!D$4)/(1+EXP(-Items!D$2*($A58-Items!D$3)))</f>
        <v>0.39465368463900852</v>
      </c>
      <c r="E58">
        <f>Items!E$4+(1-Items!E$4)/(1+EXP(-Items!E$2*($A58-Items!E$3)))</f>
        <v>0.25531073627467538</v>
      </c>
      <c r="F58">
        <f>Items!F$4+(1-Items!F$4)/(1+EXP(-Items!F$2*($A58-Items!F$3)))</f>
        <v>6.6608035575089167E-2</v>
      </c>
    </row>
    <row r="59" spans="1:6" x14ac:dyDescent="0.45">
      <c r="A59" s="1">
        <v>-0.30000000000001997</v>
      </c>
      <c r="B59">
        <f>Items!B$4+(1-Items!B$4)/(1+EXP(-Items!B$2*($A59-Items!B$3)))</f>
        <v>0.93819653373640932</v>
      </c>
      <c r="C59">
        <f>Items!C$4+(1-Items!C$4)/(1+EXP(-Items!C$2*($A59-Items!C$3)))</f>
        <v>0.65367432397235992</v>
      </c>
      <c r="D59">
        <f>Items!D$4+(1-Items!D$4)/(1+EXP(-Items!D$2*($A59-Items!D$3)))</f>
        <v>0.43136882403750099</v>
      </c>
      <c r="E59">
        <f>Items!E$4+(1-Items!E$4)/(1+EXP(-Items!E$2*($A59-Items!E$3)))</f>
        <v>0.26653815719513546</v>
      </c>
      <c r="F59">
        <f>Items!F$4+(1-Items!F$4)/(1+EXP(-Items!F$2*($A59-Items!F$3)))</f>
        <v>7.4467945166026409E-2</v>
      </c>
    </row>
    <row r="60" spans="1:6" x14ac:dyDescent="0.45">
      <c r="A60" s="1">
        <v>-0.20000000000002</v>
      </c>
      <c r="B60">
        <f>Items!B$4+(1-Items!B$4)/(1+EXP(-Items!B$2*($A60-Items!B$3)))</f>
        <v>0.94734988156469546</v>
      </c>
      <c r="C60">
        <f>Items!C$4+(1-Items!C$4)/(1+EXP(-Items!C$2*($A60-Items!C$3)))</f>
        <v>0.6712323472469286</v>
      </c>
      <c r="D60">
        <f>Items!D$4+(1-Items!D$4)/(1+EXP(-Items!D$2*($A60-Items!D$3)))</f>
        <v>0.46986360934719362</v>
      </c>
      <c r="E60">
        <f>Items!E$4+(1-Items!E$4)/(1+EXP(-Items!E$2*($A60-Items!E$3)))</f>
        <v>0.27980039129574524</v>
      </c>
      <c r="F60">
        <f>Items!F$4+(1-Items!F$4)/(1+EXP(-Items!F$2*($A60-Items!F$3)))</f>
        <v>8.3172696493920548E-2</v>
      </c>
    </row>
    <row r="61" spans="1:6" x14ac:dyDescent="0.45">
      <c r="A61" s="1">
        <v>-0.10000000000002</v>
      </c>
      <c r="B61">
        <f>Items!B$4+(1-Items!B$4)/(1+EXP(-Items!B$2*($A61-Items!B$3)))</f>
        <v>0.9552122969502117</v>
      </c>
      <c r="C61">
        <f>Items!C$4+(1-Items!C$4)/(1+EXP(-Items!C$2*($A61-Items!C$3)))</f>
        <v>0.68851138715937421</v>
      </c>
      <c r="D61">
        <f>Items!D$4+(1-Items!D$4)/(1+EXP(-Items!D$2*($A61-Items!D$3)))</f>
        <v>0.50960899686376993</v>
      </c>
      <c r="E61">
        <f>Items!E$4+(1-Items!E$4)/(1+EXP(-Items!E$2*($A61-Items!E$3)))</f>
        <v>0.29536233761769071</v>
      </c>
      <c r="F61">
        <f>Items!F$4+(1-Items!F$4)/(1+EXP(-Items!F$2*($A61-Items!F$3)))</f>
        <v>9.2792953117154964E-2</v>
      </c>
    </row>
    <row r="62" spans="1:6" x14ac:dyDescent="0.45">
      <c r="A62" s="1">
        <v>-2.0428103653102899E-14</v>
      </c>
      <c r="B62">
        <f>Items!B$4+(1-Items!B$4)/(1+EXP(-Items!B$2*($A62-Items!B$3)))</f>
        <v>0.96194775292900647</v>
      </c>
      <c r="C62">
        <f>Items!C$4+(1-Items!C$4)/(1+EXP(-Items!C$2*($A62-Items!C$3)))</f>
        <v>0.70544993418887803</v>
      </c>
      <c r="D62">
        <f>Items!D$4+(1-Items!D$4)/(1+EXP(-Items!D$2*($A62-Items!D$3)))</f>
        <v>0.54999999999999172</v>
      </c>
      <c r="E62">
        <f>Items!E$4+(1-Items!E$4)/(1+EXP(-Items!E$2*($A62-Items!E$3)))</f>
        <v>0.31348085192038627</v>
      </c>
      <c r="F62">
        <f>Items!F$4+(1-Items!F$4)/(1+EXP(-Items!F$2*($A62-Items!F$3)))</f>
        <v>0.10340045145824731</v>
      </c>
    </row>
    <row r="63" spans="1:6" x14ac:dyDescent="0.45">
      <c r="A63" s="1">
        <v>9.9999999999980105E-2</v>
      </c>
      <c r="B63">
        <f>Items!B$4+(1-Items!B$4)/(1+EXP(-Items!B$2*($A63-Items!B$3)))</f>
        <v>0.96770453530154832</v>
      </c>
      <c r="C63">
        <f>Items!C$4+(1-Items!C$4)/(1+EXP(-Items!C$2*($A63-Items!C$3)))</f>
        <v>0.72199156975419232</v>
      </c>
      <c r="D63">
        <f>Items!D$4+(1-Items!D$4)/(1+EXP(-Items!D$2*($A63-Items!D$3)))</f>
        <v>0.59039100313621407</v>
      </c>
      <c r="E63">
        <f>Items!E$4+(1-Items!E$4)/(1+EXP(-Items!E$2*($A63-Items!E$3)))</f>
        <v>0.33438529189285598</v>
      </c>
      <c r="F63">
        <f>Items!F$4+(1-Items!F$4)/(1+EXP(-Items!F$2*($A63-Items!F$3)))</f>
        <v>0.11506673204554736</v>
      </c>
    </row>
    <row r="64" spans="1:6" x14ac:dyDescent="0.45">
      <c r="A64" s="1">
        <v>0.19999999999998</v>
      </c>
      <c r="B64">
        <f>Items!B$4+(1-Items!B$4)/(1+EXP(-Items!B$2*($A64-Items!B$3)))</f>
        <v>0.97261518904987343</v>
      </c>
      <c r="C64">
        <f>Items!C$4+(1-Items!C$4)/(1+EXP(-Items!C$2*($A64-Items!C$3)))</f>
        <v>0.73808561365420533</v>
      </c>
      <c r="D64">
        <f>Items!D$4+(1-Items!D$4)/(1+EXP(-Items!D$2*($A64-Items!D$3)))</f>
        <v>0.6301363906527907</v>
      </c>
      <c r="E64">
        <f>Items!E$4+(1-Items!E$4)/(1+EXP(-Items!E$2*($A64-Items!E$3)))</f>
        <v>0.35825288915312953</v>
      </c>
      <c r="F64">
        <f>Items!F$4+(1-Items!F$4)/(1+EXP(-Items!F$2*($A64-Items!F$3)))</f>
        <v>0.12786156631907866</v>
      </c>
    </row>
    <row r="65" spans="1:6" x14ac:dyDescent="0.45">
      <c r="A65" s="1">
        <v>0.29999999999998</v>
      </c>
      <c r="B65">
        <f>Items!B$4+(1-Items!B$4)/(1+EXP(-Items!B$2*($A65-Items!B$3)))</f>
        <v>0.97679706185435522</v>
      </c>
      <c r="C65">
        <f>Items!C$4+(1-Items!C$4)/(1+EXP(-Items!C$2*($A65-Items!C$3)))</f>
        <v>0.75368760344142749</v>
      </c>
      <c r="D65">
        <f>Items!D$4+(1-Items!D$4)/(1+EXP(-Items!D$2*($A65-Items!D$3)))</f>
        <v>0.668631175962484</v>
      </c>
      <c r="E65">
        <f>Items!E$4+(1-Items!E$4)/(1+EXP(-Items!E$2*($A65-Items!E$3)))</f>
        <v>0.38518017320078024</v>
      </c>
      <c r="F65">
        <f>Items!F$4+(1-Items!F$4)/(1+EXP(-Items!F$2*($A65-Items!F$3)))</f>
        <v>0.14185106490048488</v>
      </c>
    </row>
    <row r="66" spans="1:6" x14ac:dyDescent="0.45">
      <c r="A66" s="1">
        <v>0.39999999999997998</v>
      </c>
      <c r="B66">
        <f>Items!B$4+(1-Items!B$4)/(1+EXP(-Items!B$2*($A66-Items!B$3)))</f>
        <v>0.98035323005231068</v>
      </c>
      <c r="C66">
        <f>Items!C$4+(1-Items!C$4)/(1+EXP(-Items!C$2*($A66-Items!C$3)))</f>
        <v>0.76875960210000027</v>
      </c>
      <c r="D66">
        <f>Items!D$4+(1-Items!D$4)/(1+EXP(-Items!D$2*($A66-Items!D$3)))</f>
        <v>0.70534631536097725</v>
      </c>
      <c r="E66">
        <f>Items!E$4+(1-Items!E$4)/(1+EXP(-Items!E$2*($A66-Items!E$3)))</f>
        <v>0.41515313709598983</v>
      </c>
      <c r="F66">
        <f>Items!F$4+(1-Items!F$4)/(1+EXP(-Items!F$2*($A66-Items!F$3)))</f>
        <v>0.15709546888544954</v>
      </c>
    </row>
    <row r="67" spans="1:6" x14ac:dyDescent="0.45">
      <c r="A67" s="1">
        <v>0.49999999999998002</v>
      </c>
      <c r="B67">
        <f>Items!B$4+(1-Items!B$4)/(1+EXP(-Items!B$2*($A67-Items!B$3)))</f>
        <v>0.98337364389211768</v>
      </c>
      <c r="C67">
        <f>Items!C$4+(1-Items!C$4)/(1+EXP(-Items!C$2*($A67-Items!C$3)))</f>
        <v>0.78327033787944234</v>
      </c>
      <c r="D67">
        <f>Items!D$4+(1-Items!D$4)/(1+EXP(-Items!D$2*($A67-Items!D$3)))</f>
        <v>0.73985455236249698</v>
      </c>
      <c r="E67">
        <f>Items!E$4+(1-Items!E$4)/(1+EXP(-Items!E$2*($A67-Items!E$3)))</f>
        <v>0.44802041509790325</v>
      </c>
      <c r="F67">
        <f>Items!F$4+(1-Items!F$4)/(1+EXP(-Items!F$2*($A67-Items!F$3)))</f>
        <v>0.17364664701900157</v>
      </c>
    </row>
    <row r="68" spans="1:6" x14ac:dyDescent="0.45">
      <c r="A68" s="1">
        <v>0.59999999999997999</v>
      </c>
      <c r="B68">
        <f>Items!B$4+(1-Items!B$4)/(1+EXP(-Items!B$2*($A68-Items!B$3)))</f>
        <v>0.98593637295675407</v>
      </c>
      <c r="C68">
        <f>Items!C$4+(1-Items!C$4)/(1+EXP(-Items!C$2*($A68-Items!C$3)))</f>
        <v>0.79719518667012701</v>
      </c>
      <c r="D68">
        <f>Items!D$4+(1-Items!D$4)/(1+EXP(-Items!D$2*($A68-Items!D$3)))</f>
        <v>0.77184458500388986</v>
      </c>
      <c r="E68">
        <f>Items!E$4+(1-Items!E$4)/(1+EXP(-Items!E$2*($A68-Items!E$3)))</f>
        <v>0.48347495501935633</v>
      </c>
      <c r="F68">
        <f>Items!F$4+(1-Items!F$4)/(1+EXP(-Items!F$2*($A68-Items!F$3)))</f>
        <v>0.19154534856146377</v>
      </c>
    </row>
    <row r="69" spans="1:6" x14ac:dyDescent="0.45">
      <c r="A69" s="1">
        <v>0.69999999999997997</v>
      </c>
      <c r="B69">
        <f>Items!B$4+(1-Items!B$4)/(1+EXP(-Items!B$2*($A69-Items!B$3)))</f>
        <v>0.98810886835561262</v>
      </c>
      <c r="C69">
        <f>Items!C$4+(1-Items!C$4)/(1+EXP(-Items!C$2*($A69-Items!C$3)))</f>
        <v>0.81051601258148187</v>
      </c>
      <c r="D69">
        <f>Items!D$4+(1-Items!D$4)/(1+EXP(-Items!D$2*($A69-Items!D$3)))</f>
        <v>0.8011234970018255</v>
      </c>
      <c r="E69">
        <f>Items!E$4+(1-Items!E$4)/(1+EXP(-Items!E$2*($A69-Items!E$3)))</f>
        <v>0.52104987191003072</v>
      </c>
      <c r="F69">
        <f>Items!F$4+(1-Items!F$4)/(1+EXP(-Items!F$2*($A69-Items!F$3)))</f>
        <v>0.21081829347774311</v>
      </c>
    </row>
    <row r="70" spans="1:6" x14ac:dyDescent="0.45">
      <c r="A70" s="1">
        <v>0.79999999999997995</v>
      </c>
      <c r="B70">
        <f>Items!B$4+(1-Items!B$4)/(1+EXP(-Items!B$2*($A70-Items!B$3)))</f>
        <v>0.98994918611652594</v>
      </c>
      <c r="C70">
        <f>Items!C$4+(1-Items!C$4)/(1+EXP(-Items!C$2*($A70-Items!C$3)))</f>
        <v>0.82322088622384726</v>
      </c>
      <c r="D70">
        <f>Items!D$4+(1-Items!D$4)/(1+EXP(-Items!D$2*($A70-Items!D$3)))</f>
        <v>0.82760918629467417</v>
      </c>
      <c r="E70">
        <f>Items!E$4+(1-Items!E$4)/(1+EXP(-Items!E$2*($A70-Items!E$3)))</f>
        <v>0.56013280215000982</v>
      </c>
      <c r="F70">
        <f>Items!F$4+(1-Items!F$4)/(1+EXP(-Items!F$2*($A70-Items!F$3)))</f>
        <v>0.23147521650097808</v>
      </c>
    </row>
    <row r="71" spans="1:6" x14ac:dyDescent="0.45">
      <c r="A71" s="1">
        <v>0.89999999999998004</v>
      </c>
      <c r="B71">
        <f>Items!B$4+(1-Items!B$4)/(1+EXP(-Items!B$2*($A71-Items!B$3)))</f>
        <v>0.99150713714835537</v>
      </c>
      <c r="C71">
        <f>Items!C$4+(1-Items!C$4)/(1+EXP(-Items!C$2*($A71-Items!C$3)))</f>
        <v>0.8353037025592398</v>
      </c>
      <c r="D71">
        <f>Items!D$4+(1-Items!D$4)/(1+EXP(-Items!D$2*($A71-Items!D$3)))</f>
        <v>0.85131561682844237</v>
      </c>
      <c r="E71">
        <f>Items!E$4+(1-Items!E$4)/(1+EXP(-Items!E$2*($A71-Items!E$3)))</f>
        <v>0.5999999999999921</v>
      </c>
      <c r="F71">
        <f>Items!F$4+(1-Items!F$4)/(1+EXP(-Items!F$2*($A71-Items!F$3)))</f>
        <v>0.2535060166623333</v>
      </c>
    </row>
    <row r="72" spans="1:6" x14ac:dyDescent="0.45">
      <c r="A72" s="1">
        <v>0.99999999999998002</v>
      </c>
      <c r="B72">
        <f>Items!B$4+(1-Items!B$4)/(1+EXP(-Items!B$2*($A72-Items!B$3)))</f>
        <v>0.99282534439092496</v>
      </c>
      <c r="C72">
        <f>Items!C$4+(1-Items!C$4)/(1+EXP(-Items!C$2*($A72-Items!C$3)))</f>
        <v>0.84676372115082388</v>
      </c>
      <c r="D72">
        <f>Items!D$4+(1-Items!D$4)/(1+EXP(-Items!D$2*($A72-Items!D$3)))</f>
        <v>0.87233404158955707</v>
      </c>
      <c r="E72">
        <f>Items!E$4+(1-Items!E$4)/(1+EXP(-Items!E$2*($A72-Items!E$3)))</f>
        <v>0.63986719784997437</v>
      </c>
      <c r="F72">
        <f>Items!F$4+(1-Items!F$4)/(1+EXP(-Items!F$2*($A72-Items!F$3)))</f>
        <v>0.27687819487560539</v>
      </c>
    </row>
    <row r="73" spans="1:6" x14ac:dyDescent="0.45">
      <c r="A73" s="1">
        <v>1.0999999999999801</v>
      </c>
      <c r="B73">
        <f>Items!B$4+(1-Items!B$4)/(1+EXP(-Items!B$2*($A73-Items!B$3)))</f>
        <v>0.99394019850841553</v>
      </c>
      <c r="C73">
        <f>Items!C$4+(1-Items!C$4)/(1+EXP(-Items!C$2*($A73-Items!C$3)))</f>
        <v>0.85760505137100074</v>
      </c>
      <c r="D73">
        <f>Items!D$4+(1-Items!D$4)/(1+EXP(-Items!D$2*($A73-Items!D$3)))</f>
        <v>0.89081304589743338</v>
      </c>
      <c r="E73">
        <f>Items!E$4+(1-Items!E$4)/(1+EXP(-Items!E$2*($A73-Items!E$3)))</f>
        <v>0.67895012808995392</v>
      </c>
      <c r="F73">
        <f>Items!F$4+(1-Items!F$4)/(1+EXP(-Items!F$2*($A73-Items!F$3)))</f>
        <v>0.3015347839974562</v>
      </c>
    </row>
    <row r="74" spans="1:6" x14ac:dyDescent="0.45">
      <c r="A74" s="1">
        <v>1.19999999999998</v>
      </c>
      <c r="B74">
        <f>Items!B$4+(1-Items!B$4)/(1+EXP(-Items!B$2*($A74-Items!B$3)))</f>
        <v>0.99488271076995838</v>
      </c>
      <c r="C74">
        <f>Items!C$4+(1-Items!C$4)/(1+EXP(-Items!C$2*($A74-Items!C$3)))</f>
        <v>0.86783610384750642</v>
      </c>
      <c r="D74">
        <f>Items!D$4+(1-Items!D$4)/(1+EXP(-Items!D$2*($A74-Items!D$3)))</f>
        <v>0.90693959368757249</v>
      </c>
      <c r="E74">
        <f>Items!E$4+(1-Items!E$4)/(1+EXP(-Items!E$2*($A74-Items!E$3)))</f>
        <v>0.71652504498062908</v>
      </c>
      <c r="F74">
        <f>Items!F$4+(1-Items!F$4)/(1+EXP(-Items!F$2*($A74-Items!F$3)))</f>
        <v>0.32739298293223423</v>
      </c>
    </row>
    <row r="75" spans="1:6" x14ac:dyDescent="0.45">
      <c r="A75" s="1">
        <v>1.2999999999999801</v>
      </c>
      <c r="B75">
        <f>Items!B$4+(1-Items!B$4)/(1+EXP(-Items!B$2*($A75-Items!B$3)))</f>
        <v>0.99567926648008787</v>
      </c>
      <c r="C75">
        <f>Items!C$4+(1-Items!C$4)/(1+EXP(-Items!C$2*($A75-Items!C$3)))</f>
        <v>0.87746902738792931</v>
      </c>
      <c r="D75">
        <f>Items!D$4+(1-Items!D$4)/(1+EXP(-Items!D$2*($A75-Items!D$3)))</f>
        <v>0.92092247665362625</v>
      </c>
      <c r="E75">
        <f>Items!E$4+(1-Items!E$4)/(1+EXP(-Items!E$2*($A75-Items!E$3)))</f>
        <v>0.75197958490208316</v>
      </c>
      <c r="F75">
        <f>Items!F$4+(1-Items!F$4)/(1+EXP(-Items!F$2*($A75-Items!F$3)))</f>
        <v>0.35434369377419905</v>
      </c>
    </row>
    <row r="76" spans="1:6" x14ac:dyDescent="0.45">
      <c r="A76" s="1">
        <v>1.3999999999999799</v>
      </c>
      <c r="B76">
        <f>Items!B$4+(1-Items!B$4)/(1+EXP(-Items!B$2*($A76-Items!B$3)))</f>
        <v>0.99635228517922503</v>
      </c>
      <c r="C76">
        <f>Items!C$4+(1-Items!C$4)/(1+EXP(-Items!C$2*($A76-Items!C$3)))</f>
        <v>0.88651914807960797</v>
      </c>
      <c r="D76">
        <f>Items!D$4+(1-Items!D$4)/(1+EXP(-Items!D$2*($A76-Items!D$3)))</f>
        <v>0.93297884935057251</v>
      </c>
      <c r="E76">
        <f>Items!E$4+(1-Items!E$4)/(1+EXP(-Items!E$2*($A76-Items!E$3)))</f>
        <v>0.78484686290399774</v>
      </c>
      <c r="F76">
        <f>Items!F$4+(1-Items!F$4)/(1+EXP(-Items!F$2*($A76-Items!F$3)))</f>
        <v>0.38225212523074531</v>
      </c>
    </row>
    <row r="77" spans="1:6" x14ac:dyDescent="0.45">
      <c r="A77" s="1">
        <v>1.49999999999998</v>
      </c>
      <c r="B77">
        <f>Items!B$4+(1-Items!B$4)/(1+EXP(-Items!B$2*($A77-Items!B$3)))</f>
        <v>0.99692079537852263</v>
      </c>
      <c r="C77">
        <f>Items!C$4+(1-Items!C$4)/(1+EXP(-Items!C$2*($A77-Items!C$3)))</f>
        <v>0.89500442444917971</v>
      </c>
      <c r="D77">
        <f>Items!D$4+(1-Items!D$4)/(1+EXP(-Items!D$2*($A77-Items!D$3)))</f>
        <v>0.94332397954870129</v>
      </c>
      <c r="E77">
        <f>Items!E$4+(1-Items!E$4)/(1+EXP(-Items!E$2*($A77-Items!E$3)))</f>
        <v>0.81481982679920839</v>
      </c>
      <c r="F77">
        <f>Items!F$4+(1-Items!F$4)/(1+EXP(-Items!F$2*($A77-Items!F$3)))</f>
        <v>0.41095956594132904</v>
      </c>
    </row>
    <row r="78" spans="1:6" x14ac:dyDescent="0.45">
      <c r="A78" s="1">
        <v>1.5999999999999801</v>
      </c>
      <c r="B78">
        <f>Items!B$4+(1-Items!B$4)/(1+EXP(-Items!B$2*($A78-Items!B$3)))</f>
        <v>0.99740093223767656</v>
      </c>
      <c r="C78">
        <f>Items!C$4+(1-Items!C$4)/(1+EXP(-Items!C$2*($A78-Items!C$3)))</f>
        <v>0.90294492968660922</v>
      </c>
      <c r="D78">
        <f>Items!D$4+(1-Items!D$4)/(1+EXP(-Items!D$2*($A78-Items!D$3)))</f>
        <v>0.95216397724174096</v>
      </c>
      <c r="E78">
        <f>Items!E$4+(1-Items!E$4)/(1+EXP(-Items!E$2*($A78-Items!E$3)))</f>
        <v>0.84174711084686038</v>
      </c>
      <c r="F78">
        <f>Items!F$4+(1-Items!F$4)/(1+EXP(-Items!F$2*($A78-Items!F$3)))</f>
        <v>0.44028635073280109</v>
      </c>
    </row>
    <row r="79" spans="1:6" x14ac:dyDescent="0.45">
      <c r="A79" s="1">
        <v>1.69999999999998</v>
      </c>
      <c r="B79">
        <f>Items!B$4+(1-Items!B$4)/(1+EXP(-Items!B$2*($A79-Items!B$3)))</f>
        <v>0.99780636664329125</v>
      </c>
      <c r="C79">
        <f>Items!C$4+(1-Items!C$4)/(1+EXP(-Items!C$2*($A79-Items!C$3)))</f>
        <v>0.91036236915440627</v>
      </c>
      <c r="D79">
        <f>Items!D$4+(1-Items!D$4)/(1+EXP(-Items!D$2*($A79-Items!D$3)))</f>
        <v>0.9596910672551906</v>
      </c>
      <c r="E79">
        <f>Items!E$4+(1-Items!E$4)/(1+EXP(-Items!E$2*($A79-Items!E$3)))</f>
        <v>0.86561470810713526</v>
      </c>
      <c r="F79">
        <f>Items!F$4+(1-Items!F$4)/(1+EXP(-Items!F$2*($A79-Items!F$3)))</f>
        <v>0.47003594823542227</v>
      </c>
    </row>
    <row r="80" spans="1:6" x14ac:dyDescent="0.45">
      <c r="A80" s="1">
        <v>1.7999999999999801</v>
      </c>
      <c r="B80">
        <f>Items!B$4+(1-Items!B$4)/(1+EXP(-Items!B$2*($A80-Items!B$3)))</f>
        <v>0.99814867381879402</v>
      </c>
      <c r="C80">
        <f>Items!C$4+(1-Items!C$4)/(1+EXP(-Items!C$2*($A80-Items!C$3)))</f>
        <v>0.91727963883339902</v>
      </c>
      <c r="D80">
        <f>Items!D$4+(1-Items!D$4)/(1+EXP(-Items!D$2*($A80-Items!D$3)))</f>
        <v>0.96608089854225343</v>
      </c>
      <c r="E80">
        <f>Items!E$4+(1-Items!E$4)/(1+EXP(-Items!E$2*($A80-Items!E$3)))</f>
        <v>0.88651914807960597</v>
      </c>
      <c r="F80">
        <f>Items!F$4+(1-Items!F$4)/(1+EXP(-Items!F$2*($A80-Items!F$3)))</f>
        <v>0.499999999999994</v>
      </c>
    </row>
    <row r="81" spans="1:6" x14ac:dyDescent="0.45">
      <c r="A81" s="1">
        <v>1.8999999999999799</v>
      </c>
      <c r="B81">
        <f>Items!B$4+(1-Items!B$4)/(1+EXP(-Items!B$2*($A81-Items!B$3)))</f>
        <v>0.99843764904967103</v>
      </c>
      <c r="C81">
        <f>Items!C$4+(1-Items!C$4)/(1+EXP(-Items!C$2*($A81-Items!C$3)))</f>
        <v>0.9237204280807112</v>
      </c>
      <c r="D81">
        <f>Items!D$4+(1-Items!D$4)/(1+EXP(-Items!D$2*($A81-Items!D$3)))</f>
        <v>0.97149139445884813</v>
      </c>
      <c r="E81">
        <f>Items!E$4+(1-Items!E$4)/(1+EXP(-Items!E$2*($A81-Items!E$3)))</f>
        <v>0.9046376623823027</v>
      </c>
      <c r="F81">
        <f>Items!F$4+(1-Items!F$4)/(1+EXP(-Items!F$2*($A81-Items!F$3)))</f>
        <v>0.52996405176456574</v>
      </c>
    </row>
    <row r="82" spans="1:6" x14ac:dyDescent="0.45">
      <c r="A82" s="1">
        <v>1.99999999999998</v>
      </c>
      <c r="B82">
        <f>Items!B$4+(1-Items!B$4)/(1+EXP(-Items!B$2*($A82-Items!B$3)))</f>
        <v>0.99868157744676611</v>
      </c>
      <c r="C82">
        <f>Items!C$4+(1-Items!C$4)/(1+EXP(-Items!C$2*($A82-Items!C$3)))</f>
        <v>0.92970886813655795</v>
      </c>
      <c r="D82">
        <f>Items!D$4+(1-Items!D$4)/(1+EXP(-Items!D$2*($A82-Items!D$3)))</f>
        <v>0.97606270578081988</v>
      </c>
      <c r="E82">
        <f>Items!E$4+(1-Items!E$4)/(1+EXP(-Items!E$2*($A82-Items!E$3)))</f>
        <v>0.92019960870424899</v>
      </c>
      <c r="F82">
        <f>Items!F$4+(1-Items!F$4)/(1+EXP(-Items!F$2*($A82-Items!F$3)))</f>
        <v>0.55971364926718703</v>
      </c>
    </row>
    <row r="83" spans="1:6" x14ac:dyDescent="0.45">
      <c r="A83" s="1">
        <v>2.0999999999999699</v>
      </c>
      <c r="B83">
        <f>Items!B$4+(1-Items!B$4)/(1+EXP(-Items!B$2*($A83-Items!B$3)))</f>
        <v>0.99888746396713957</v>
      </c>
      <c r="C83">
        <f>Items!C$4+(1-Items!C$4)/(1+EXP(-Items!C$2*($A83-Items!C$3)))</f>
        <v>0.93526922622762632</v>
      </c>
      <c r="D83">
        <f>Items!D$4+(1-Items!D$4)/(1+EXP(-Items!D$2*($A83-Items!D$3)))</f>
        <v>0.97991790517086996</v>
      </c>
      <c r="E83">
        <f>Items!E$4+(1-Items!E$4)/(1+EXP(-Items!E$2*($A83-Items!E$3)))</f>
        <v>0.93346184280485844</v>
      </c>
      <c r="F83">
        <f>Items!F$4+(1-Items!F$4)/(1+EXP(-Items!F$2*($A83-Items!F$3)))</f>
        <v>0.58904043405865636</v>
      </c>
    </row>
    <row r="84" spans="1:6" x14ac:dyDescent="0.45">
      <c r="A84" s="1">
        <v>2.19999999999997</v>
      </c>
      <c r="B84">
        <f>Items!B$4+(1-Items!B$4)/(1+EXP(-Items!B$2*($A84-Items!B$3)))</f>
        <v>0.999061229212862</v>
      </c>
      <c r="C84">
        <f>Items!C$4+(1-Items!C$4)/(1+EXP(-Items!C$2*($A84-Items!C$3)))</f>
        <v>0.94042564386717609</v>
      </c>
      <c r="D84">
        <f>Items!D$4+(1-Items!D$4)/(1+EXP(-Items!D$2*($A84-Items!D$3)))</f>
        <v>0.98316414104107996</v>
      </c>
      <c r="E84">
        <f>Items!E$4+(1-Items!E$4)/(1+EXP(-Items!E$2*($A84-Items!E$3)))</f>
        <v>0.94468926372531947</v>
      </c>
      <c r="F84">
        <f>Items!F$4+(1-Items!F$4)/(1+EXP(-Items!F$2*($A84-Items!F$3)))</f>
        <v>0.61774787476924042</v>
      </c>
    </row>
    <row r="85" spans="1:6" x14ac:dyDescent="0.45">
      <c r="A85" s="1">
        <v>2.2999999999999701</v>
      </c>
      <c r="B85">
        <f>Items!B$4+(1-Items!B$4)/(1+EXP(-Items!B$2*($A85-Items!B$3)))</f>
        <v>0.99920787586160476</v>
      </c>
      <c r="C85">
        <f>Items!C$4+(1-Items!C$4)/(1+EXP(-Items!C$2*($A85-Items!C$3)))</f>
        <v>0.94520191702053791</v>
      </c>
      <c r="D85">
        <f>Items!D$4+(1-Items!D$4)/(1+EXP(-Items!D$2*($A85-Items!D$3)))</f>
        <v>0.98589404074055564</v>
      </c>
      <c r="E85">
        <f>Items!E$4+(1-Items!E$4)/(1+EXP(-Items!E$2*($A85-Items!E$3)))</f>
        <v>0.95414065928090253</v>
      </c>
      <c r="F85">
        <f>Items!F$4+(1-Items!F$4)/(1+EXP(-Items!F$2*($A85-Items!F$3)))</f>
        <v>0.64565630622578729</v>
      </c>
    </row>
    <row r="86" spans="1:6" x14ac:dyDescent="0.45">
      <c r="A86" s="1">
        <v>2.3999999999999702</v>
      </c>
      <c r="B86">
        <f>Items!B$4+(1-Items!B$4)/(1+EXP(-Items!B$2*($A86-Items!B$3)))</f>
        <v>0.99933162996520453</v>
      </c>
      <c r="C86">
        <f>Items!C$4+(1-Items!C$4)/(1+EXP(-Items!C$2*($A86-Items!C$3)))</f>
        <v>0.94962131515440174</v>
      </c>
      <c r="D86">
        <f>Items!D$4+(1-Items!D$4)/(1+EXP(-Items!D$2*($A86-Items!D$3)))</f>
        <v>0.98818721349660688</v>
      </c>
      <c r="E86">
        <f>Items!E$4+(1-Items!E$4)/(1+EXP(-Items!E$2*($A86-Items!E$3)))</f>
        <v>0.96205930145794438</v>
      </c>
      <c r="F86">
        <f>Items!F$4+(1-Items!F$4)/(1+EXP(-Items!F$2*($A86-Items!F$3)))</f>
        <v>0.67260701706775261</v>
      </c>
    </row>
    <row r="87" spans="1:6" x14ac:dyDescent="0.45">
      <c r="A87" s="1">
        <v>2.4999999999999698</v>
      </c>
      <c r="B87">
        <f>Items!B$4+(1-Items!B$4)/(1+EXP(-Items!B$2*($A87-Items!B$3)))</f>
        <v>0.99943606079130776</v>
      </c>
      <c r="C87">
        <f>Items!C$4+(1-Items!C$4)/(1+EXP(-Items!C$2*($A87-Items!C$3)))</f>
        <v>0.95370643577891001</v>
      </c>
      <c r="D87">
        <f>Items!D$4+(1-Items!D$4)/(1+EXP(-Items!D$2*($A87-Items!D$3)))</f>
        <v>0.99011175163246556</v>
      </c>
      <c r="E87">
        <f>Items!E$4+(1-Items!E$4)/(1+EXP(-Items!E$2*($A87-Items!E$3)))</f>
        <v>0.9686674217625868</v>
      </c>
      <c r="F87">
        <f>Items!F$4+(1-Items!F$4)/(1+EXP(-Items!F$2*($A87-Items!F$3)))</f>
        <v>0.69846521600253109</v>
      </c>
    </row>
    <row r="88" spans="1:6" x14ac:dyDescent="0.45">
      <c r="A88" s="1">
        <v>2.5999999999999699</v>
      </c>
      <c r="B88">
        <f>Items!B$4+(1-Items!B$4)/(1+EXP(-Items!B$2*($A88-Items!B$3)))</f>
        <v>0.99952418238116159</v>
      </c>
      <c r="C88">
        <f>Items!C$4+(1-Items!C$4)/(1+EXP(-Items!C$2*($A88-Items!C$3)))</f>
        <v>0.95747909088154803</v>
      </c>
      <c r="D88">
        <f>Items!D$4+(1-Items!D$4)/(1+EXP(-Items!D$2*($A88-Items!D$3)))</f>
        <v>0.99172566516944016</v>
      </c>
      <c r="E88">
        <f>Items!E$4+(1-Items!E$4)/(1+EXP(-Items!E$2*($A88-Items!E$3)))</f>
        <v>0.97416362824123803</v>
      </c>
      <c r="F88">
        <f>Items!F$4+(1-Items!F$4)/(1+EXP(-Items!F$2*($A88-Items!F$3)))</f>
        <v>0.72312180512438251</v>
      </c>
    </row>
    <row r="89" spans="1:6" x14ac:dyDescent="0.45">
      <c r="A89" s="1">
        <v>2.69999999999997</v>
      </c>
      <c r="B89">
        <f>Items!B$4+(1-Items!B$4)/(1+EXP(-Items!B$2*($A89-Items!B$3)))</f>
        <v>0.99959853955241718</v>
      </c>
      <c r="C89">
        <f>Items!C$4+(1-Items!C$4)/(1+EXP(-Items!C$2*($A89-Items!C$3)))</f>
        <v>0.96096022160095917</v>
      </c>
      <c r="D89">
        <f>Items!D$4+(1-Items!D$4)/(1+EXP(-Items!D$2*($A89-Items!D$3)))</f>
        <v>0.99307821170664212</v>
      </c>
      <c r="E89">
        <f>Items!E$4+(1-Items!E$4)/(1+EXP(-Items!E$2*($A89-Items!E$3)))</f>
        <v>0.97872240513850617</v>
      </c>
      <c r="F89">
        <f>Items!F$4+(1-Items!F$4)/(1+EXP(-Items!F$2*($A89-Items!F$3)))</f>
        <v>0.74649398333765538</v>
      </c>
    </row>
    <row r="90" spans="1:6" x14ac:dyDescent="0.45">
      <c r="A90" s="1">
        <v>2.7999999999999701</v>
      </c>
      <c r="B90">
        <f>Items!B$4+(1-Items!B$4)/(1+EXP(-Items!B$2*($A90-Items!B$3)))</f>
        <v>0.99966128068628479</v>
      </c>
      <c r="C90">
        <f>Items!C$4+(1-Items!C$4)/(1+EXP(-Items!C$2*($A90-Items!C$3)))</f>
        <v>0.96416983756016972</v>
      </c>
      <c r="D90">
        <f>Items!D$4+(1-Items!D$4)/(1+EXP(-Items!D$2*($A90-Items!D$3)))</f>
        <v>0.99421110237977295</v>
      </c>
      <c r="E90">
        <f>Items!E$4+(1-Items!E$4)/(1+EXP(-Items!E$2*($A90-Items!E$3)))</f>
        <v>0.98249498325109452</v>
      </c>
      <c r="F90">
        <f>Items!F$4+(1-Items!F$4)/(1+EXP(-Items!F$2*($A90-Items!F$3)))</f>
        <v>0.76852478349901132</v>
      </c>
    </row>
    <row r="91" spans="1:6" x14ac:dyDescent="0.45">
      <c r="A91" s="1">
        <v>2.8999999999999702</v>
      </c>
      <c r="B91">
        <f>Items!B$4+(1-Items!B$4)/(1+EXP(-Items!B$2*($A91-Items!B$3)))</f>
        <v>0.99971421929915805</v>
      </c>
      <c r="C91">
        <f>Items!C$4+(1-Items!C$4)/(1+EXP(-Items!C$2*($A91-Items!C$3)))</f>
        <v>0.96712697743962717</v>
      </c>
      <c r="D91">
        <f>Items!D$4+(1-Items!D$4)/(1+EXP(-Items!D$2*($A91-Items!D$3)))</f>
        <v>0.99515957754353612</v>
      </c>
      <c r="E91">
        <f>Items!E$4+(1-Items!E$4)/(1+EXP(-Items!E$2*($A91-Items!E$3)))</f>
        <v>0.98561103203032596</v>
      </c>
      <c r="F91">
        <f>Items!F$4+(1-Items!F$4)/(1+EXP(-Items!F$2*($A91-Items!F$3)))</f>
        <v>0.78918170652224684</v>
      </c>
    </row>
    <row r="92" spans="1:6" x14ac:dyDescent="0.45">
      <c r="A92" s="1">
        <v>2.9999999999999698</v>
      </c>
      <c r="B92">
        <f>Items!B$4+(1-Items!B$4)/(1+EXP(-Items!B$2*($A92-Items!B$3)))</f>
        <v>0.99975888610505259</v>
      </c>
      <c r="C92">
        <f>Items!C$4+(1-Items!C$4)/(1+EXP(-Items!C$2*($A92-Items!C$3)))</f>
        <v>0.96984968759311463</v>
      </c>
      <c r="D92">
        <f>Items!D$4+(1-Items!D$4)/(1+EXP(-Items!D$2*($A92-Items!D$3)))</f>
        <v>0.99595335415515274</v>
      </c>
      <c r="E92">
        <f>Items!E$4+(1-Items!E$4)/(1+EXP(-Items!E$2*($A92-Items!E$3)))</f>
        <v>0.98818077464538101</v>
      </c>
      <c r="F92">
        <f>Items!F$4+(1-Items!F$4)/(1+EXP(-Items!F$2*($A92-Items!F$3)))</f>
        <v>0.80845465143852691</v>
      </c>
    </row>
    <row r="93" spans="1:6" x14ac:dyDescent="0.45">
      <c r="A93" s="1">
        <v>3.0999999999999699</v>
      </c>
      <c r="B93">
        <f>Items!B$4+(1-Items!B$4)/(1+EXP(-Items!B$2*($A93-Items!B$3)))</f>
        <v>0.9997965730219448</v>
      </c>
      <c r="C93">
        <f>Items!C$4+(1-Items!C$4)/(1+EXP(-Items!C$2*($A93-Items!C$3)))</f>
        <v>0.97235501577097816</v>
      </c>
      <c r="D93">
        <f>Items!D$4+(1-Items!D$4)/(1+EXP(-Items!D$2*($A93-Items!D$3)))</f>
        <v>0.99661745191734918</v>
      </c>
      <c r="E93">
        <f>Items!E$4+(1-Items!E$4)/(1+EXP(-Items!E$2*($A93-Items!E$3)))</f>
        <v>0.99029725201258012</v>
      </c>
      <c r="F93">
        <f>Items!F$4+(1-Items!F$4)/(1+EXP(-Items!F$2*($A93-Items!F$3)))</f>
        <v>0.82635335298098977</v>
      </c>
    </row>
    <row r="94" spans="1:6" x14ac:dyDescent="0.45">
      <c r="A94" s="1">
        <v>3.19999999999997</v>
      </c>
      <c r="B94">
        <f>Items!B$4+(1-Items!B$4)/(1+EXP(-Items!B$2*($A94-Items!B$3)))</f>
        <v>0.99982837035756622</v>
      </c>
      <c r="C94">
        <f>Items!C$4+(1-Items!C$4)/(1+EXP(-Items!C$2*($A94-Items!C$3)))</f>
        <v>0.97465901729675442</v>
      </c>
      <c r="D94">
        <f>Items!D$4+(1-Items!D$4)/(1+EXP(-Items!D$2*($A94-Items!D$3)))</f>
        <v>0.99717290804365333</v>
      </c>
      <c r="E94">
        <f>Items!E$4+(1-Items!E$4)/(1+EXP(-Items!E$2*($A94-Items!E$3)))</f>
        <v>0.99203855850647615</v>
      </c>
      <c r="F94">
        <f>Items!F$4+(1-Items!F$4)/(1+EXP(-Items!F$2*($A94-Items!F$3)))</f>
        <v>0.84290453111454244</v>
      </c>
    </row>
    <row r="95" spans="1:6" x14ac:dyDescent="0.45">
      <c r="A95" s="1">
        <v>3.2999999999999701</v>
      </c>
      <c r="B95">
        <f>Items!B$4+(1-Items!B$4)/(1+EXP(-Items!B$2*($A95-Items!B$3)))</f>
        <v>0.99985519822390823</v>
      </c>
      <c r="C95">
        <f>Items!C$4+(1-Items!C$4)/(1+EXP(-Items!C$2*($A95-Items!C$3)))</f>
        <v>0.97677677133092677</v>
      </c>
      <c r="D95">
        <f>Items!D$4+(1-Items!D$4)/(1+EXP(-Items!D$2*($A95-Items!D$3)))</f>
        <v>0.99763739176900568</v>
      </c>
      <c r="E95">
        <f>Items!E$4+(1-Items!E$4)/(1+EXP(-Items!E$2*($A95-Items!E$3)))</f>
        <v>0.99346994307747183</v>
      </c>
      <c r="F95">
        <f>Items!F$4+(1-Items!F$4)/(1+EXP(-Items!F$2*($A95-Items!F$3)))</f>
        <v>0.85814893509950785</v>
      </c>
    </row>
    <row r="96" spans="1:6" x14ac:dyDescent="0.45">
      <c r="A96" s="1">
        <v>3.3999999999999702</v>
      </c>
      <c r="B96">
        <f>Items!B$4+(1-Items!B$4)/(1+EXP(-Items!B$2*($A96-Items!B$3)))</f>
        <v>0.9998778330705631</v>
      </c>
      <c r="C96">
        <f>Items!C$4+(1-Items!C$4)/(1+EXP(-Items!C$2*($A96-Items!C$3)))</f>
        <v>0.97872240513850683</v>
      </c>
      <c r="D96">
        <f>Items!D$4+(1-Items!D$4)/(1+EXP(-Items!D$2*($A96-Items!D$3)))</f>
        <v>0.99802572997896211</v>
      </c>
      <c r="E96">
        <f>Items!E$4+(1-Items!E$4)/(1+EXP(-Items!E$2*($A96-Items!E$3)))</f>
        <v>0.99464571926057199</v>
      </c>
      <c r="F96">
        <f>Items!F$4+(1-Items!F$4)/(1+EXP(-Items!F$2*($A96-Items!F$3)))</f>
        <v>0.8721384336809147</v>
      </c>
    </row>
    <row r="97" spans="1:6" x14ac:dyDescent="0.45">
      <c r="A97" s="1">
        <v>3.4999999999999698</v>
      </c>
      <c r="B97">
        <f>Items!B$4+(1-Items!B$4)/(1+EXP(-Items!B$2*($A97-Items!B$3)))</f>
        <v>0.9998969300913515</v>
      </c>
      <c r="C97">
        <f>Items!C$4+(1-Items!C$4)/(1+EXP(-Items!C$2*($A97-Items!C$3)))</f>
        <v>0.98050912454777728</v>
      </c>
      <c r="D97">
        <f>Items!D$4+(1-Items!D$4)/(1+EXP(-Items!D$2*($A97-Items!D$3)))</f>
        <v>0.9983503549517565</v>
      </c>
      <c r="E97">
        <f>Items!E$4+(1-Items!E$4)/(1+EXP(-Items!E$2*($A97-Items!E$3)))</f>
        <v>0.99561096088043954</v>
      </c>
      <c r="F97">
        <f>Items!F$4+(1-Items!F$4)/(1+EXP(-Items!F$2*($A97-Items!F$3)))</f>
        <v>0.88493326795444649</v>
      </c>
    </row>
    <row r="98" spans="1:6" x14ac:dyDescent="0.45">
      <c r="A98" s="1">
        <v>3.5999999999999699</v>
      </c>
      <c r="B98">
        <f>Items!B$4+(1-Items!B$4)/(1+EXP(-Items!B$2*($A98-Items!B$3)))</f>
        <v>0.99991304214323196</v>
      </c>
      <c r="C98">
        <f>Items!C$4+(1-Items!C$4)/(1+EXP(-Items!C$2*($A98-Items!C$3)))</f>
        <v>0.98214924904077394</v>
      </c>
      <c r="D98">
        <f>Items!D$4+(1-Items!D$4)/(1+EXP(-Items!D$2*($A98-Items!D$3)))</f>
        <v>0.99862168446369692</v>
      </c>
      <c r="E98">
        <f>Items!E$4+(1-Items!E$4)/(1+EXP(-Items!E$2*($A98-Items!E$3)))</f>
        <v>0.99640298147124695</v>
      </c>
      <c r="F98">
        <f>Items!F$4+(1-Items!F$4)/(1+EXP(-Items!F$2*($A98-Items!F$3)))</f>
        <v>0.89659954854174695</v>
      </c>
    </row>
    <row r="99" spans="1:6" x14ac:dyDescent="0.45">
      <c r="A99" s="1">
        <v>3.69999999999997</v>
      </c>
      <c r="B99">
        <f>Items!B$4+(1-Items!B$4)/(1+EXP(-Items!B$2*($A99-Items!B$3)))</f>
        <v>0.99992663571836227</v>
      </c>
      <c r="C99">
        <f>Items!C$4+(1-Items!C$4)/(1+EXP(-Items!C$2*($A99-Items!C$3)))</f>
        <v>0.98365425014875707</v>
      </c>
      <c r="D99">
        <f>Items!D$4+(1-Items!D$4)/(1+EXP(-Items!D$2*($A99-Items!D$3)))</f>
        <v>0.99884844357898317</v>
      </c>
      <c r="E99">
        <f>Items!E$4+(1-Items!E$4)/(1+EXP(-Items!E$2*($A99-Items!E$3)))</f>
        <v>0.99705260808045115</v>
      </c>
      <c r="F99">
        <f>Items!F$4+(1-Items!F$4)/(1+EXP(-Items!F$2*($A99-Items!F$3)))</f>
        <v>0.90720704688283993</v>
      </c>
    </row>
    <row r="100" spans="1:6" x14ac:dyDescent="0.45">
      <c r="A100" s="1">
        <v>3.7999999999999701</v>
      </c>
      <c r="B100">
        <f>Items!B$4+(1-Items!B$4)/(1+EXP(-Items!B$2*($A100-Items!B$3)))</f>
        <v>0.99993810442688125</v>
      </c>
      <c r="C100">
        <f>Items!C$4+(1-Items!C$4)/(1+EXP(-Items!C$2*($A100-Items!C$3)))</f>
        <v>0.98503479203651589</v>
      </c>
      <c r="D100">
        <f>Items!D$4+(1-Items!D$4)/(1+EXP(-Items!D$2*($A100-Items!D$3)))</f>
        <v>0.99903793644780214</v>
      </c>
      <c r="E100">
        <f>Items!E$4+(1-Items!E$4)/(1+EXP(-Items!E$2*($A100-Items!E$3)))</f>
        <v>0.9975852669402332</v>
      </c>
      <c r="F100">
        <f>Items!F$4+(1-Items!F$4)/(1+EXP(-Items!F$2*($A100-Items!F$3)))</f>
        <v>0.91682730350607489</v>
      </c>
    </row>
    <row r="101" spans="1:6" x14ac:dyDescent="0.45">
      <c r="A101" s="1">
        <v>3.8999999999999702</v>
      </c>
      <c r="B101">
        <f>Items!B$4+(1-Items!B$4)/(1+EXP(-Items!B$2*($A101-Items!B$3)))</f>
        <v>0.99994778037735566</v>
      </c>
      <c r="C101">
        <f>Items!C$4+(1-Items!C$4)/(1+EXP(-Items!C$2*($A101-Items!C$3)))</f>
        <v>0.98630077334741761</v>
      </c>
      <c r="D101">
        <f>Items!D$4+(1-Items!D$4)/(1+EXP(-Items!D$2*($A101-Items!D$3)))</f>
        <v>0.99919627544593159</v>
      </c>
      <c r="E101">
        <f>Items!E$4+(1-Items!E$4)/(1+EXP(-Items!E$2*($A101-Items!E$3)))</f>
        <v>0.99802190147469205</v>
      </c>
      <c r="F101">
        <f>Items!F$4+(1-Items!F$4)/(1+EXP(-Items!F$2*($A101-Items!F$3)))</f>
        <v>0.92553205483396939</v>
      </c>
    </row>
    <row r="102" spans="1:6" x14ac:dyDescent="0.45">
      <c r="A102" s="1">
        <v>3.9999999999999698</v>
      </c>
      <c r="B102">
        <f>Items!B$4+(1-Items!B$4)/(1+EXP(-Items!B$2*($A102-Items!B$3)))</f>
        <v>0.99995594378197439</v>
      </c>
      <c r="C102">
        <f>Items!C$4+(1-Items!C$4)/(1+EXP(-Items!C$2*($A102-Items!C$3)))</f>
        <v>0.98746136954716079</v>
      </c>
      <c r="D102">
        <f>Items!D$4+(1-Items!D$4)/(1+EXP(-Items!D$2*($A102-Items!D$3)))</f>
        <v>0.999328574049547</v>
      </c>
      <c r="E102">
        <f>Items!E$4+(1-Items!E$4)/(1+EXP(-Items!E$2*($A102-Items!E$3)))</f>
        <v>0.99837974368876004</v>
      </c>
      <c r="F102">
        <f>Items!F$4+(1-Items!F$4)/(1+EXP(-Items!F$2*($A102-Items!F$3)))</f>
        <v>0.93339196442490713</v>
      </c>
    </row>
    <row r="103" spans="1:6" x14ac:dyDescent="0.45">
      <c r="A103" s="1">
        <v>4.0999999999999703</v>
      </c>
      <c r="B103">
        <f>Items!B$4+(1-Items!B$4)/(1+EXP(-Items!B$2*($A103-Items!B$3)))</f>
        <v>0.99996283106289707</v>
      </c>
      <c r="C103">
        <f>Items!C$4+(1-Items!C$4)/(1+EXP(-Items!C$2*($A103-Items!C$3)))</f>
        <v>0.98852507514920918</v>
      </c>
      <c r="D103">
        <f>Items!D$4+(1-Items!D$4)/(1+EXP(-Items!D$2*($A103-Items!D$3)))</f>
        <v>0.99943910897474075</v>
      </c>
      <c r="E103">
        <f>Items!E$4+(1-Items!E$4)/(1+EXP(-Items!E$2*($A103-Items!E$3)))</f>
        <v>0.99867295913586052</v>
      </c>
      <c r="F103">
        <f>Items!F$4+(1-Items!F$4)/(1+EXP(-Items!F$2*($A103-Items!F$3)))</f>
        <v>0.94047563402349643</v>
      </c>
    </row>
    <row r="104" spans="1:6" x14ac:dyDescent="0.45">
      <c r="A104" s="1">
        <v>4.19999999999997</v>
      </c>
      <c r="B104">
        <f>Items!B$4+(1-Items!B$4)/(1+EXP(-Items!B$2*($A104-Items!B$3)))</f>
        <v>0.9999686416932787</v>
      </c>
      <c r="C104">
        <f>Items!C$4+(1-Items!C$4)/(1+EXP(-Items!C$2*($A104-Items!C$3)))</f>
        <v>0.98949974533031759</v>
      </c>
      <c r="D104">
        <f>Items!D$4+(1-Items!D$4)/(1+EXP(-Items!D$2*($A104-Items!D$3)))</f>
        <v>0.99953145633330021</v>
      </c>
      <c r="E104">
        <f>Items!E$4+(1-Items!E$4)/(1+EXP(-Items!E$2*($A104-Items!E$3)))</f>
        <v>0.99891318403965679</v>
      </c>
      <c r="F104">
        <f>Items!F$4+(1-Items!F$4)/(1+EXP(-Items!F$2*($A104-Items!F$3)))</f>
        <v>0.94684886360193443</v>
      </c>
    </row>
    <row r="105" spans="1:6" x14ac:dyDescent="0.45">
      <c r="A105" s="1">
        <v>4.2999999999999696</v>
      </c>
      <c r="B105">
        <f>Items!B$4+(1-Items!B$4)/(1+EXP(-Items!B$2*($A105-Items!B$3)))</f>
        <v>0.99997354397021299</v>
      </c>
      <c r="C105">
        <f>Items!C$4+(1-Items!C$4)/(1+EXP(-Items!C$2*($A105-Items!C$3)))</f>
        <v>0.99039263655205789</v>
      </c>
      <c r="D105">
        <f>Items!D$4+(1-Items!D$4)/(1+EXP(-Items!D$2*($A105-Items!D$3)))</f>
        <v>0.99960860586689115</v>
      </c>
      <c r="E105">
        <f>Items!E$4+(1-Items!E$4)/(1+EXP(-Items!E$2*($A105-Items!E$3)))</f>
        <v>0.9991099711737117</v>
      </c>
      <c r="F105">
        <f>Items!F$4+(1-Items!F$4)/(1+EXP(-Items!F$2*($A105-Items!F$3)))</f>
        <v>0.95257412682243148</v>
      </c>
    </row>
    <row r="106" spans="1:6" x14ac:dyDescent="0.45">
      <c r="A106" s="1">
        <v>4.3999999999999702</v>
      </c>
      <c r="B106">
        <f>Items!B$4+(1-Items!B$4)/(1+EXP(-Items!B$2*($A106-Items!B$3)))</f>
        <v>0.9999776798861657</v>
      </c>
      <c r="C106">
        <f>Items!C$4+(1-Items!C$4)/(1+EXP(-Items!C$2*($A106-Items!C$3)))</f>
        <v>0.99121044589552509</v>
      </c>
      <c r="D106">
        <f>Items!D$4+(1-Items!D$4)/(1+EXP(-Items!D$2*($A106-Items!D$3)))</f>
        <v>0.99967305671810369</v>
      </c>
      <c r="E106">
        <f>Items!E$4+(1-Items!E$4)/(1+EXP(-Items!E$2*($A106-Items!E$3)))</f>
        <v>0.99927115904447961</v>
      </c>
      <c r="F106">
        <f>Items!F$4+(1-Items!F$4)/(1+EXP(-Items!F$2*($A106-Items!F$3)))</f>
        <v>0.9577102281579648</v>
      </c>
    </row>
    <row r="107" spans="1:6" x14ac:dyDescent="0.45">
      <c r="A107" s="1">
        <v>4.4999999999999698</v>
      </c>
      <c r="B107">
        <f>Items!B$4+(1-Items!B$4)/(1+EXP(-Items!B$2*($A107-Items!B$3)))</f>
        <v>0.99998116923954716</v>
      </c>
      <c r="C107">
        <f>Items!C$4+(1-Items!C$4)/(1+EXP(-Items!C$2*($A107-Items!C$3)))</f>
        <v>0.99195934889322079</v>
      </c>
      <c r="D107">
        <f>Items!D$4+(1-Items!D$4)/(1+EXP(-Items!D$2*($A107-Items!D$3)))</f>
        <v>0.99972689767297407</v>
      </c>
      <c r="E107">
        <f>Items!E$4+(1-Items!E$4)/(1+EXP(-Items!E$2*($A107-Items!E$3)))</f>
        <v>0.99940317693293057</v>
      </c>
      <c r="F107">
        <f>Items!F$4+(1-Items!F$4)/(1+EXP(-Items!F$2*($A107-Items!F$3)))</f>
        <v>0.96231210949139268</v>
      </c>
    </row>
    <row r="108" spans="1:6" x14ac:dyDescent="0.45">
      <c r="A108" s="1">
        <v>4.5999999999999703</v>
      </c>
      <c r="B108">
        <f>Items!B$4+(1-Items!B$4)/(1+EXP(-Items!B$2*($A108-Items!B$3)))</f>
        <v>0.99998411310316671</v>
      </c>
      <c r="C108">
        <f>Items!C$4+(1-Items!C$4)/(1+EXP(-Items!C$2*($A108-Items!C$3)))</f>
        <v>0.99264503570616935</v>
      </c>
      <c r="D108">
        <f>Items!D$4+(1-Items!D$4)/(1+EXP(-Items!D$2*($A108-Items!D$3)))</f>
        <v>0.99977187435830517</v>
      </c>
      <c r="E108">
        <f>Items!E$4+(1-Items!E$4)/(1+EXP(-Items!E$2*($A108-Items!E$3)))</f>
        <v>0.99951129651245263</v>
      </c>
      <c r="F108">
        <f>Items!F$4+(1-Items!F$4)/(1+EXP(-Items!F$2*($A108-Items!F$3)))</f>
        <v>0.96643077671851629</v>
      </c>
    </row>
    <row r="109" spans="1:6" x14ac:dyDescent="0.45">
      <c r="A109" s="1">
        <v>4.69999999999997</v>
      </c>
      <c r="B109">
        <f>Items!B$4+(1-Items!B$4)/(1+EXP(-Items!B$2*($A109-Items!B$3)))</f>
        <v>0.99998659675080737</v>
      </c>
      <c r="C109">
        <f>Items!C$4+(1-Items!C$4)/(1+EXP(-Items!C$2*($A109-Items!C$3)))</f>
        <v>0.99327274554722944</v>
      </c>
      <c r="D109">
        <f>Items!D$4+(1-Items!D$4)/(1+EXP(-Items!D$2*($A109-Items!D$3)))</f>
        <v>0.99980944549051687</v>
      </c>
      <c r="E109">
        <f>Items!E$4+(1-Items!E$4)/(1+EXP(-Items!E$2*($A109-Items!E$3)))</f>
        <v>0.99959983911433636</v>
      </c>
      <c r="F109">
        <f>Items!F$4+(1-Items!F$4)/(1+EXP(-Items!F$2*($A109-Items!F$3)))</f>
        <v>0.97011332019636276</v>
      </c>
    </row>
    <row r="110" spans="1:6" x14ac:dyDescent="0.45">
      <c r="A110" s="1">
        <v>4.7999999999999696</v>
      </c>
      <c r="B110">
        <f>Items!B$4+(1-Items!B$4)/(1+EXP(-Items!B$2*($A110-Items!B$3)))</f>
        <v>0.99998869212653374</v>
      </c>
      <c r="C110">
        <f>Items!C$4+(1-Items!C$4)/(1+EXP(-Items!C$2*($A110-Items!C$3)))</f>
        <v>0.99384729929479332</v>
      </c>
      <c r="D110">
        <f>Items!D$4+(1-Items!D$4)/(1+EXP(-Items!D$2*($A110-Items!D$3)))</f>
        <v>0.9998408299430801</v>
      </c>
      <c r="E110">
        <f>Items!E$4+(1-Items!E$4)/(1+EXP(-Items!E$2*($A110-Items!E$3)))</f>
        <v>0.99967234626801127</v>
      </c>
      <c r="F110">
        <f>Items!F$4+(1-Items!F$4)/(1+EXP(-Items!F$2*($A110-Items!F$3)))</f>
        <v>0.97340300642313327</v>
      </c>
    </row>
    <row r="111" spans="1:6" x14ac:dyDescent="0.45">
      <c r="A111" s="1">
        <v>4.8999999999999604</v>
      </c>
      <c r="B111">
        <f>Items!B$4+(1-Items!B$4)/(1+EXP(-Items!B$2*($A111-Items!B$3)))</f>
        <v>0.99999045992814084</v>
      </c>
      <c r="C111">
        <f>Items!C$4+(1-Items!C$4)/(1+EXP(-Items!C$2*($A111-Items!C$3)))</f>
        <v>0.99437313027600371</v>
      </c>
      <c r="D111">
        <f>Items!D$4+(1-Items!D$4)/(1+EXP(-Items!D$2*($A111-Items!D$3)))</f>
        <v>0.99986704611950894</v>
      </c>
      <c r="E111">
        <f>Items!E$4+(1-Items!E$4)/(1+EXP(-Items!E$2*($A111-Items!E$3)))</f>
        <v>0.99973171989562681</v>
      </c>
      <c r="F111">
        <f>Items!F$4+(1-Items!F$4)/(1+EXP(-Items!F$2*($A111-Items!F$3)))</f>
        <v>0.9763394218445377</v>
      </c>
    </row>
    <row r="112" spans="1:6" x14ac:dyDescent="0.45">
      <c r="A112" s="1">
        <v>4.99999999999996</v>
      </c>
      <c r="B112">
        <f>Items!B$4+(1-Items!B$4)/(1+EXP(-Items!B$2*($A112-Items!B$3)))</f>
        <v>0.99999195136502039</v>
      </c>
      <c r="C112">
        <f>Items!C$4+(1-Items!C$4)/(1+EXP(-Items!C$2*($A112-Items!C$3)))</f>
        <v>0.99485431322646489</v>
      </c>
      <c r="D112">
        <f>Items!D$4+(1-Items!D$4)/(1+EXP(-Items!D$2*($A112-Items!D$3)))</f>
        <v>0.99988894488161228</v>
      </c>
      <c r="E112">
        <f>Items!E$4+(1-Items!E$4)/(1+EXP(-Items!E$2*($A112-Items!E$3)))</f>
        <v>0.99978033747511885</v>
      </c>
      <c r="F112">
        <f>Items!F$4+(1-Items!F$4)/(1+EXP(-Items!F$2*($A112-Items!F$3)))</f>
        <v>0.97895865297953066</v>
      </c>
    </row>
    <row r="113" spans="1:6" x14ac:dyDescent="0.45">
      <c r="A113" s="1">
        <v>5.0999999999999597</v>
      </c>
      <c r="B113">
        <f>Items!B$4+(1-Items!B$4)/(1+EXP(-Items!B$2*($A113-Items!B$3)))</f>
        <v>0.99999320964130201</v>
      </c>
      <c r="C113">
        <f>Items!C$4+(1-Items!C$4)/(1+EXP(-Items!C$2*($A113-Items!C$3)))</f>
        <v>0.99529459145526267</v>
      </c>
      <c r="D113">
        <f>Items!D$4+(1-Items!D$4)/(1+EXP(-Items!D$2*($A113-Items!D$3)))</f>
        <v>0.99990723708221629</v>
      </c>
      <c r="E113">
        <f>Items!E$4+(1-Items!E$4)/(1+EXP(-Items!E$2*($A113-Items!E$3)))</f>
        <v>0.99982014658381346</v>
      </c>
      <c r="F113">
        <f>Items!F$4+(1-Items!F$4)/(1+EXP(-Items!F$2*($A113-Items!F$3)))</f>
        <v>0.98129349004564437</v>
      </c>
    </row>
    <row r="114" spans="1:6" x14ac:dyDescent="0.45">
      <c r="A114" s="1">
        <v>5.1999999999999602</v>
      </c>
      <c r="B114">
        <f>Items!B$4+(1-Items!B$4)/(1+EXP(-Items!B$2*($A114-Items!B$3)))</f>
        <v>0.99999427120719298</v>
      </c>
      <c r="C114">
        <f>Items!C$4+(1-Items!C$4)/(1+EXP(-Items!C$2*($A114-Items!C$3)))</f>
        <v>0.99569740226092107</v>
      </c>
      <c r="D114">
        <f>Items!D$4+(1-Items!D$4)/(1+EXP(-Items!D$2*($A114-Items!D$3)))</f>
        <v>0.9999225165824851</v>
      </c>
      <c r="E114">
        <f>Items!E$4+(1-Items!E$4)/(1+EXP(-Items!E$2*($A114-Items!E$3)))</f>
        <v>0.99985274247602929</v>
      </c>
      <c r="F114">
        <f>Items!F$4+(1-Items!F$4)/(1+EXP(-Items!F$2*($A114-Items!F$3)))</f>
        <v>0.98337364389211745</v>
      </c>
    </row>
    <row r="115" spans="1:6" x14ac:dyDescent="0.45">
      <c r="A115" s="1">
        <v>5.2999999999999599</v>
      </c>
      <c r="B115">
        <f>Items!B$4+(1-Items!B$4)/(1+EXP(-Items!B$2*($A115-Items!B$3)))</f>
        <v>0.99999516681473821</v>
      </c>
      <c r="C115">
        <f>Items!C$4+(1-Items!C$4)/(1+EXP(-Items!C$2*($A115-Items!C$3)))</f>
        <v>0.99606590065651157</v>
      </c>
      <c r="D115">
        <f>Items!D$4+(1-Items!D$4)/(1+EXP(-Items!D$2*($A115-Items!D$3)))</f>
        <v>0.99993527949160343</v>
      </c>
      <c r="E115">
        <f>Items!E$4+(1-Items!E$4)/(1+EXP(-Items!E$2*($A115-Items!E$3)))</f>
        <v>0.99987943171355242</v>
      </c>
      <c r="F115">
        <f>Items!F$4+(1-Items!F$4)/(1+EXP(-Items!F$2*($A115-Items!F$3)))</f>
        <v>0.98522596830672626</v>
      </c>
    </row>
    <row r="116" spans="1:6" x14ac:dyDescent="0.45">
      <c r="A116" s="1">
        <v>5.3999999999999604</v>
      </c>
      <c r="B116">
        <f>Items!B$4+(1-Items!B$4)/(1+EXP(-Items!B$2*($A116-Items!B$3)))</f>
        <v>0.99999592240856161</v>
      </c>
      <c r="C116">
        <f>Items!C$4+(1-Items!C$4)/(1+EXP(-Items!C$2*($A116-Items!C$3)))</f>
        <v>0.99640298147124695</v>
      </c>
      <c r="D116">
        <f>Items!D$4+(1-Items!D$4)/(1+EXP(-Items!D$2*($A116-Items!D$3)))</f>
        <v>0.99994594024687722</v>
      </c>
      <c r="E116">
        <f>Items!E$4+(1-Items!E$4)/(1+EXP(-Items!E$2*($A116-Items!E$3)))</f>
        <v>0.99990128433921099</v>
      </c>
      <c r="F116">
        <f>Items!F$4+(1-Items!F$4)/(1+EXP(-Items!F$2*($A116-Items!F$3)))</f>
        <v>0.98687468166289649</v>
      </c>
    </row>
    <row r="117" spans="1:6" x14ac:dyDescent="0.45">
      <c r="A117" s="1">
        <v>5.49999999999996</v>
      </c>
      <c r="B117">
        <f>Items!B$4+(1-Items!B$4)/(1+EXP(-Items!B$2*($A117-Items!B$3)))</f>
        <v>0.99999655987737412</v>
      </c>
      <c r="C117">
        <f>Items!C$4+(1-Items!C$4)/(1+EXP(-Items!C$2*($A117-Items!C$3)))</f>
        <v>0.99671129990213547</v>
      </c>
      <c r="D117">
        <f>Items!D$4+(1-Items!D$4)/(1+EXP(-Items!D$2*($A117-Items!D$3)))</f>
        <v>0.99995484505178456</v>
      </c>
      <c r="E117">
        <f>Items!E$4+(1-Items!E$4)/(1+EXP(-Items!E$2*($A117-Items!E$3)))</f>
        <v>0.99991917664487384</v>
      </c>
      <c r="F117">
        <f>Items!F$4+(1-Items!F$4)/(1+EXP(-Items!F$2*($A117-Items!F$3)))</f>
        <v>0.98834158344516632</v>
      </c>
    </row>
    <row r="118" spans="1:6" x14ac:dyDescent="0.45">
      <c r="A118" s="1">
        <v>5.5999999999999597</v>
      </c>
      <c r="B118">
        <f>Items!B$4+(1-Items!B$4)/(1+EXP(-Items!B$2*($A118-Items!B$3)))</f>
        <v>0.99999709768801481</v>
      </c>
      <c r="C118">
        <f>Items!C$4+(1-Items!C$4)/(1+EXP(-Items!C$2*($A118-Items!C$3)))</f>
        <v>0.9969932905931993</v>
      </c>
      <c r="D118">
        <f>Items!D$4+(1-Items!D$4)/(1+EXP(-Items!D$2*($A118-Items!D$3)))</f>
        <v>0.99996228310513335</v>
      </c>
      <c r="E118">
        <f>Items!E$4+(1-Items!E$4)/(1+EXP(-Items!E$2*($A118-Items!E$3)))</f>
        <v>0.99993382622171878</v>
      </c>
      <c r="F118">
        <f>Items!F$4+(1-Items!F$4)/(1+EXP(-Items!F$2*($A118-Items!F$3)))</f>
        <v>0.98964626246890786</v>
      </c>
    </row>
    <row r="119" spans="1:6" x14ac:dyDescent="0.45">
      <c r="A119" s="1">
        <v>5.6999999999999602</v>
      </c>
      <c r="B119">
        <f>Items!B$4+(1-Items!B$4)/(1+EXP(-Items!B$2*($A119-Items!B$3)))</f>
        <v>0.99999755142038016</v>
      </c>
      <c r="C119">
        <f>Items!C$4+(1-Items!C$4)/(1+EXP(-Items!C$2*($A119-Items!C$3)))</f>
        <v>0.99725118532179691</v>
      </c>
      <c r="D119">
        <f>Items!D$4+(1-Items!D$4)/(1+EXP(-Items!D$2*($A119-Items!D$3)))</f>
        <v>0.99996849598376503</v>
      </c>
      <c r="E119">
        <f>Items!E$4+(1-Items!E$4)/(1+EXP(-Items!E$2*($A119-Items!E$3)))</f>
        <v>0.99994582068030424</v>
      </c>
      <c r="F119">
        <f>Items!F$4+(1-Items!F$4)/(1+EXP(-Items!F$2*($A119-Items!F$3)))</f>
        <v>0.99080629463271153</v>
      </c>
    </row>
    <row r="120" spans="1:6" x14ac:dyDescent="0.45">
      <c r="A120" s="1">
        <v>5.7999999999999599</v>
      </c>
      <c r="B120">
        <f>Items!B$4+(1-Items!B$4)/(1+EXP(-Items!B$2*($A120-Items!B$3)))</f>
        <v>0.99999793421873351</v>
      </c>
      <c r="C120">
        <f>Items!C$4+(1-Items!C$4)/(1+EXP(-Items!C$2*($A120-Items!C$3)))</f>
        <v>0.99748702937213629</v>
      </c>
      <c r="D120">
        <f>Items!D$4+(1-Items!D$4)/(1+EXP(-Items!D$2*($A120-Items!D$3)))</f>
        <v>0.99997368548196219</v>
      </c>
      <c r="E120">
        <f>Items!E$4+(1-Items!E$4)/(1+EXP(-Items!E$2*($A120-Items!E$3)))</f>
        <v>0.99995564118022173</v>
      </c>
      <c r="F120">
        <f>Items!F$4+(1-Items!F$4)/(1+EXP(-Items!F$2*($A120-Items!F$3)))</f>
        <v>0.99183742884683967</v>
      </c>
    </row>
    <row r="121" spans="1:6" x14ac:dyDescent="0.45">
      <c r="A121" s="1">
        <v>5.8999999999999604</v>
      </c>
      <c r="B121">
        <f>Items!B$4+(1-Items!B$4)/(1+EXP(-Items!B$2*($A121-Items!B$3)))</f>
        <v>0.99999825717246382</v>
      </c>
      <c r="C121">
        <f>Items!C$4+(1-Items!C$4)/(1+EXP(-Items!C$2*($A121-Items!C$3)))</f>
        <v>0.99770269667543965</v>
      </c>
      <c r="D121">
        <f>Items!D$4+(1-Items!D$4)/(1+EXP(-Items!D$2*($A121-Items!D$3)))</f>
        <v>0.99997802016109116</v>
      </c>
      <c r="E121">
        <f>Items!E$4+(1-Items!E$4)/(1+EXP(-Items!E$2*($A121-Items!E$3)))</f>
        <v>0.99996368170503813</v>
      </c>
      <c r="F121">
        <f>Items!F$4+(1-Items!F$4)/(1+EXP(-Items!F$2*($A121-Items!F$3)))</f>
        <v>0.9927537604041683</v>
      </c>
    </row>
    <row r="122" spans="1:6" x14ac:dyDescent="0.45">
      <c r="A122" s="1">
        <v>5.99999999999996</v>
      </c>
      <c r="B122">
        <f>Items!B$4+(1-Items!B$4)/(1+EXP(-Items!B$2*($A122-Items!B$3)))</f>
        <v>0.99999852963732561</v>
      </c>
      <c r="C122">
        <f>Items!C$4+(1-Items!C$4)/(1+EXP(-Items!C$2*($A122-Items!C$3)))</f>
        <v>0.99789990379467164</v>
      </c>
      <c r="D122">
        <f>Items!D$4+(1-Items!D$4)/(1+EXP(-Items!D$2*($A122-Items!D$3)))</f>
        <v>0.99998164082144814</v>
      </c>
      <c r="E122">
        <f>Items!E$4+(1-Items!E$4)/(1+EXP(-Items!E$2*($A122-Items!E$3)))</f>
        <v>0.9999702648503177</v>
      </c>
      <c r="F122">
        <f>Items!F$4+(1-Items!F$4)/(1+EXP(-Items!F$2*($A122-Items!F$3)))</f>
        <v>0.993567891533081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26678-9A6D-4F16-8ED7-20D895BD4CA0}">
  <sheetPr codeName="Sheet3"/>
  <dimension ref="A1:J122"/>
  <sheetViews>
    <sheetView tabSelected="1" topLeftCell="C1" workbookViewId="0">
      <selection activeCell="J6" sqref="J6"/>
    </sheetView>
  </sheetViews>
  <sheetFormatPr defaultRowHeight="14.25" x14ac:dyDescent="0.45"/>
  <cols>
    <col min="1" max="1" width="9.06640625" style="1"/>
    <col min="8" max="8" width="3.73046875" customWidth="1"/>
    <col min="9" max="9" width="10.86328125" customWidth="1"/>
    <col min="10" max="10" width="12.19921875" bestFit="1" customWidth="1"/>
  </cols>
  <sheetData>
    <row r="1" spans="1:10" x14ac:dyDescent="0.45">
      <c r="A1" s="2" t="s">
        <v>0</v>
      </c>
      <c r="B1" s="3" t="s">
        <v>7</v>
      </c>
      <c r="C1" s="3" t="s">
        <v>8</v>
      </c>
      <c r="D1" s="3" t="s">
        <v>6</v>
      </c>
      <c r="E1" s="3" t="s">
        <v>9</v>
      </c>
      <c r="F1" s="3" t="s">
        <v>10</v>
      </c>
      <c r="G1" s="3" t="s">
        <v>11</v>
      </c>
      <c r="H1" s="3"/>
    </row>
    <row r="2" spans="1:10" x14ac:dyDescent="0.45">
      <c r="A2" s="1">
        <v>-6</v>
      </c>
      <c r="B2">
        <f>IF(Items!B$5, IF(Items!B$6, Curves!B2, 1-Curves!B2), 1)</f>
        <v>0.999061229212862</v>
      </c>
      <c r="C2">
        <f>IF(Items!C$5, IF(Items!C$6, Curves!C2, 1-Curves!C2), 1)</f>
        <v>0.79384729929479336</v>
      </c>
      <c r="D2">
        <f>IF(Items!D$5, IF(Items!D$6, Curves!D2, 1-Curves!D2), 1)</f>
        <v>0.10001835917855194</v>
      </c>
      <c r="E2">
        <f>IF(Items!E$5, IF(Items!E$6, Curves!E2, 1-Curves!E2), 1)</f>
        <v>0.79999918749564836</v>
      </c>
      <c r="F2">
        <f>IF(Items!F$5, IF(Items!F$6, Curves!F2, 1-Curves!F2), 1)</f>
        <v>8.609268612756602E-5</v>
      </c>
      <c r="G2">
        <f>PRODUCT(B2:F2)</f>
        <v>5.4634202352919882E-6</v>
      </c>
    </row>
    <row r="3" spans="1:10" x14ac:dyDescent="0.45">
      <c r="A3" s="1">
        <v>-5.9</v>
      </c>
      <c r="B3">
        <f>IF(Items!B$5, IF(Items!B$6, Curves!B3, 1-Curves!B3), 1)</f>
        <v>0.99888746396713968</v>
      </c>
      <c r="C3">
        <f>IF(Items!C$5, IF(Items!C$6, Curves!C3, 1-Curves!C3), 1)</f>
        <v>0.7932727455472296</v>
      </c>
      <c r="D3">
        <f>IF(Items!D$5, IF(Items!D$6, Curves!D3, 1-Curves!D3), 1)</f>
        <v>0.10002197983890894</v>
      </c>
      <c r="E3">
        <f>IF(Items!E$5, IF(Items!E$6, Curves!E3, 1-Curves!E3), 1)</f>
        <v>0.79999900760516707</v>
      </c>
      <c r="F3">
        <f>IF(Items!F$5, IF(Items!F$6, Curves!F3, 1-Curves!F3), 1)</f>
        <v>9.7068167079599626E-5</v>
      </c>
      <c r="G3">
        <f t="shared" ref="G3:G66" si="0">PRODUCT(B3:F3)</f>
        <v>6.1546139979751833E-6</v>
      </c>
      <c r="I3" t="s">
        <v>13</v>
      </c>
      <c r="J3">
        <f>MAX(G2:G102)</f>
        <v>5.2558655166001496E-4</v>
      </c>
    </row>
    <row r="4" spans="1:10" x14ac:dyDescent="0.45">
      <c r="A4" s="1">
        <v>-5.8</v>
      </c>
      <c r="B4">
        <f>IF(Items!B$5, IF(Items!B$6, Curves!B4, 1-Curves!B4), 1)</f>
        <v>0.998681577446766</v>
      </c>
      <c r="C4">
        <f>IF(Items!C$5, IF(Items!C$6, Curves!C4, 1-Curves!C4), 1)</f>
        <v>0.79264503570616951</v>
      </c>
      <c r="D4">
        <f>IF(Items!D$5, IF(Items!D$6, Curves!D4, 1-Curves!D4), 1)</f>
        <v>0.10002631451803783</v>
      </c>
      <c r="E4">
        <f>IF(Items!E$5, IF(Items!E$6, Curves!E4, 1-Curves!E4), 1)</f>
        <v>0.79999878788654677</v>
      </c>
      <c r="F4">
        <f>IF(Items!F$5, IF(Items!F$6, Curves!F4, 1-Curves!F4), 1)</f>
        <v>1.0944269832050534E-4</v>
      </c>
      <c r="G4">
        <f t="shared" si="0"/>
        <v>6.9326004514342115E-6</v>
      </c>
      <c r="I4" t="s">
        <v>14</v>
      </c>
      <c r="J4">
        <f>_xlfn.XLOOKUP(J3,G2:G102,A2:A102)</f>
        <v>-0.60000000000001996</v>
      </c>
    </row>
    <row r="5" spans="1:10" x14ac:dyDescent="0.45">
      <c r="A5" s="1">
        <v>-5.7</v>
      </c>
      <c r="B5">
        <f>IF(Items!B$5, IF(Items!B$6, Curves!B5, 1-Curves!B5), 1)</f>
        <v>0.99843764904967103</v>
      </c>
      <c r="C5">
        <f>IF(Items!C$5, IF(Items!C$6, Curves!C5, 1-Curves!C5), 1)</f>
        <v>0.79195934889322106</v>
      </c>
      <c r="D5">
        <f>IF(Items!D$5, IF(Items!D$6, Curves!D5, 1-Curves!D5), 1)</f>
        <v>0.1000315040162351</v>
      </c>
      <c r="E5">
        <f>IF(Items!E$5, IF(Items!E$6, Curves!E5, 1-Curves!E5), 1)</f>
        <v>0.79999851952178169</v>
      </c>
      <c r="F5">
        <f>IF(Items!F$5, IF(Items!F$6, Curves!F5, 1-Curves!F5), 1)</f>
        <v>1.2339457598623172E-4</v>
      </c>
      <c r="G5">
        <f t="shared" si="0"/>
        <v>7.8081094218472176E-6</v>
      </c>
      <c r="I5" t="s">
        <v>18</v>
      </c>
      <c r="J5" s="7" cm="1">
        <f t="array" ref="J5">StandardErrorDp(G2:G102, 0.9)*0.1</f>
        <v>2.2732944590047643</v>
      </c>
    </row>
    <row r="6" spans="1:10" x14ac:dyDescent="0.45">
      <c r="A6" s="1">
        <v>-5.6</v>
      </c>
      <c r="B6">
        <f>IF(Items!B$5, IF(Items!B$6, Curves!B6, 1-Curves!B6), 1)</f>
        <v>0.99814867381879391</v>
      </c>
      <c r="C6">
        <f>IF(Items!C$5, IF(Items!C$6, Curves!C6, 1-Curves!C6), 1)</f>
        <v>0.79121044589552547</v>
      </c>
      <c r="D6">
        <f>IF(Items!D$5, IF(Items!D$6, Curves!D6, 1-Curves!D6), 1)</f>
        <v>0.10003771689486662</v>
      </c>
      <c r="E6">
        <f>IF(Items!E$5, IF(Items!E$6, Curves!E6, 1-Curves!E6), 1)</f>
        <v>0.79999819174056164</v>
      </c>
      <c r="F6">
        <f>IF(Items!F$5, IF(Items!F$6, Curves!F6, 1-Curves!F6), 1)</f>
        <v>1.3912480715655816E-4</v>
      </c>
      <c r="G6">
        <f t="shared" si="0"/>
        <v>8.7931523674650402E-6</v>
      </c>
      <c r="I6" t="s">
        <v>20</v>
      </c>
      <c r="J6" s="6">
        <f>J4-J5</f>
        <v>-2.8732944590047844</v>
      </c>
    </row>
    <row r="7" spans="1:10" x14ac:dyDescent="0.45">
      <c r="A7" s="1">
        <v>-5.5</v>
      </c>
      <c r="B7">
        <f>IF(Items!B$5, IF(Items!B$6, Curves!B7, 1-Curves!B7), 1)</f>
        <v>0.99780636664329125</v>
      </c>
      <c r="C7">
        <f>IF(Items!C$5, IF(Items!C$6, Curves!C7, 1-Curves!C7), 1)</f>
        <v>0.79039263655205805</v>
      </c>
      <c r="D7">
        <f>IF(Items!D$5, IF(Items!D$6, Curves!D7, 1-Curves!D7), 1)</f>
        <v>0.10004515494821539</v>
      </c>
      <c r="E7">
        <f>IF(Items!E$5, IF(Items!E$6, Curves!E7, 1-Curves!E7), 1)</f>
        <v>0.79999779138803984</v>
      </c>
      <c r="F7">
        <f>IF(Items!F$5, IF(Items!F$6, Curves!F7, 1-Curves!F7), 1)</f>
        <v>1.5685999966687179E-4</v>
      </c>
      <c r="G7">
        <f t="shared" si="0"/>
        <v>9.9011631145557832E-6</v>
      </c>
      <c r="I7" t="s">
        <v>21</v>
      </c>
      <c r="J7" s="6">
        <f>J4+J5</f>
        <v>1.6732944590047443</v>
      </c>
    </row>
    <row r="8" spans="1:10" x14ac:dyDescent="0.45">
      <c r="A8" s="1">
        <v>-5.4</v>
      </c>
      <c r="B8">
        <f>IF(Items!B$5, IF(Items!B$6, Curves!B8, 1-Curves!B8), 1)</f>
        <v>0.99740093223767667</v>
      </c>
      <c r="C8">
        <f>IF(Items!C$5, IF(Items!C$6, Curves!C8, 1-Curves!C8), 1)</f>
        <v>0.78949974533031775</v>
      </c>
      <c r="D8">
        <f>IF(Items!D$5, IF(Items!D$6, Curves!D8, 1-Curves!D8), 1)</f>
        <v>0.1000540597531227</v>
      </c>
      <c r="E8">
        <f>IF(Items!E$5, IF(Items!E$6, Curves!E8, 1-Curves!E8), 1)</f>
        <v>0.79999730239690903</v>
      </c>
      <c r="F8">
        <f>IF(Items!F$5, IF(Items!F$6, Curves!F8, 1-Curves!F8), 1)</f>
        <v>1.7685561880001287E-4</v>
      </c>
      <c r="G8">
        <f t="shared" si="0"/>
        <v>1.1147150478608222E-5</v>
      </c>
    </row>
    <row r="9" spans="1:10" x14ac:dyDescent="0.45">
      <c r="A9" s="1">
        <v>-5.3</v>
      </c>
      <c r="B9">
        <f>IF(Items!B$5, IF(Items!B$6, Curves!B9, 1-Curves!B9), 1)</f>
        <v>0.99692079537852274</v>
      </c>
      <c r="C9">
        <f>IF(Items!C$5, IF(Items!C$6, Curves!C9, 1-Curves!C9), 1)</f>
        <v>0.78852507514920955</v>
      </c>
      <c r="D9">
        <f>IF(Items!D$5, IF(Items!D$6, Curves!D9, 1-Curves!D9), 1)</f>
        <v>0.10006472050839665</v>
      </c>
      <c r="E9">
        <f>IF(Items!E$5, IF(Items!E$6, Curves!E9, 1-Curves!E9), 1)</f>
        <v>0.79999670514260413</v>
      </c>
      <c r="F9">
        <f>IF(Items!F$5, IF(Items!F$6, Curves!F9, 1-Curves!F9), 1)</f>
        <v>1.9939965721107084E-4</v>
      </c>
      <c r="G9">
        <f t="shared" si="0"/>
        <v>1.2547862647964572E-5</v>
      </c>
      <c r="I9" t="s">
        <v>15</v>
      </c>
      <c r="J9">
        <v>100</v>
      </c>
    </row>
    <row r="10" spans="1:10" x14ac:dyDescent="0.45">
      <c r="A10" s="1">
        <v>-5.2</v>
      </c>
      <c r="B10">
        <f>IF(Items!B$5, IF(Items!B$6, Curves!B10, 1-Curves!B10), 1)</f>
        <v>0.99635228517922503</v>
      </c>
      <c r="C10">
        <f>IF(Items!C$5, IF(Items!C$6, Curves!C10, 1-Curves!C10), 1)</f>
        <v>0.78746136954716117</v>
      </c>
      <c r="D10">
        <f>IF(Items!D$5, IF(Items!D$6, Curves!D10, 1-Curves!D10), 1)</f>
        <v>0.10007748341751481</v>
      </c>
      <c r="E10">
        <f>IF(Items!E$5, IF(Items!E$6, Curves!E10, 1-Curves!E10), 1)</f>
        <v>0.79999597565575864</v>
      </c>
      <c r="F10">
        <f>IF(Items!F$5, IF(Items!F$6, Curves!F10, 1-Curves!F10), 1)</f>
        <v>2.248167702332953E-4</v>
      </c>
      <c r="G10">
        <f t="shared" si="0"/>
        <v>1.4121962749537148E-5</v>
      </c>
      <c r="I10" t="s">
        <v>16</v>
      </c>
      <c r="J10">
        <v>1500</v>
      </c>
    </row>
    <row r="11" spans="1:10" x14ac:dyDescent="0.45">
      <c r="A11" s="1">
        <v>-5.0999999999999996</v>
      </c>
      <c r="B11">
        <f>IF(Items!B$5, IF(Items!B$6, Curves!B11, 1-Curves!B11), 1)</f>
        <v>0.99567926648008809</v>
      </c>
      <c r="C11">
        <f>IF(Items!C$5, IF(Items!C$6, Curves!C11, 1-Curves!C11), 1)</f>
        <v>0.78630077334741777</v>
      </c>
      <c r="D11">
        <f>IF(Items!D$5, IF(Items!D$6, Curves!D11, 1-Curves!D11), 1)</f>
        <v>0.10009276291778371</v>
      </c>
      <c r="E11">
        <f>IF(Items!E$5, IF(Items!E$6, Curves!E11, 1-Curves!E11), 1)</f>
        <v>0.79999508466031821</v>
      </c>
      <c r="F11">
        <f>IF(Items!F$5, IF(Items!F$6, Curves!F11, 1-Curves!F11), 1)</f>
        <v>2.5347293521645102E-4</v>
      </c>
      <c r="G11">
        <f t="shared" si="0"/>
        <v>1.5890214384922201E-5</v>
      </c>
    </row>
    <row r="12" spans="1:10" x14ac:dyDescent="0.45">
      <c r="A12" s="1">
        <v>-5</v>
      </c>
      <c r="B12">
        <f>IF(Items!B$5, IF(Items!B$6, Curves!B12, 1-Curves!B12), 1)</f>
        <v>0.99488271076995849</v>
      </c>
      <c r="C12">
        <f>IF(Items!C$5, IF(Items!C$6, Curves!C12, 1-Curves!C12), 1)</f>
        <v>0.78503479203651627</v>
      </c>
      <c r="D12">
        <f>IF(Items!D$5, IF(Items!D$6, Curves!D12, 1-Curves!D12), 1)</f>
        <v>0.10011105511838761</v>
      </c>
      <c r="E12">
        <f>IF(Items!E$5, IF(Items!E$6, Curves!E12, 1-Curves!E12), 1)</f>
        <v>0.79999399639872226</v>
      </c>
      <c r="F12">
        <f>IF(Items!F$5, IF(Items!F$6, Curves!F12, 1-Curves!F12), 1)</f>
        <v>2.8578070084187918E-4</v>
      </c>
      <c r="G12">
        <f t="shared" si="0"/>
        <v>1.7875675070508419E-5</v>
      </c>
      <c r="I12" t="s">
        <v>17</v>
      </c>
      <c r="J12">
        <f>J9*J4+J10</f>
        <v>1439.999999999998</v>
      </c>
    </row>
    <row r="13" spans="1:10" x14ac:dyDescent="0.45">
      <c r="A13" s="1">
        <v>-4.9000000000000004</v>
      </c>
      <c r="B13">
        <f>IF(Items!B$5, IF(Items!B$6, Curves!B13, 1-Curves!B13), 1)</f>
        <v>0.99394019850841586</v>
      </c>
      <c r="C13">
        <f>IF(Items!C$5, IF(Items!C$6, Curves!C13, 1-Curves!C13), 1)</f>
        <v>0.78365425014875756</v>
      </c>
      <c r="D13">
        <f>IF(Items!D$5, IF(Items!D$6, Curves!D13, 1-Curves!D13), 1)</f>
        <v>0.10013295388049101</v>
      </c>
      <c r="E13">
        <f>IF(Items!E$5, IF(Items!E$6, Curves!E13, 1-Curves!E13), 1)</f>
        <v>0.79999266719702411</v>
      </c>
      <c r="F13">
        <f>IF(Items!F$5, IF(Items!F$6, Curves!F13, 1-Curves!F13), 1)</f>
        <v>3.2220510053134382E-4</v>
      </c>
      <c r="G13">
        <f t="shared" si="0"/>
        <v>2.0103894376491948E-5</v>
      </c>
      <c r="I13" t="s">
        <v>19</v>
      </c>
      <c r="J13" s="8">
        <f>J5*J9</f>
        <v>227.32944590047643</v>
      </c>
    </row>
    <row r="14" spans="1:10" x14ac:dyDescent="0.45">
      <c r="A14" s="1">
        <v>-4.8</v>
      </c>
      <c r="B14">
        <f>IF(Items!B$5, IF(Items!B$6, Curves!B14, 1-Curves!B14), 1)</f>
        <v>0.99282534439092529</v>
      </c>
      <c r="C14">
        <f>IF(Items!C$5, IF(Items!C$6, Curves!C14, 1-Curves!C14), 1)</f>
        <v>0.78214924904077421</v>
      </c>
      <c r="D14">
        <f>IF(Items!D$5, IF(Items!D$6, Curves!D14, 1-Curves!D14), 1)</f>
        <v>0.10015917005692002</v>
      </c>
      <c r="E14">
        <f>IF(Items!E$5, IF(Items!E$6, Curves!E14, 1-Curves!E14), 1)</f>
        <v>0.79999104371239593</v>
      </c>
      <c r="F14">
        <f>IF(Items!F$5, IF(Items!F$6, Curves!F14, 1-Curves!F14), 1)</f>
        <v>3.6327031321807806E-4</v>
      </c>
      <c r="G14">
        <f t="shared" si="0"/>
        <v>2.260311206429616E-5</v>
      </c>
      <c r="I14" t="s">
        <v>20</v>
      </c>
      <c r="J14" s="8">
        <f>J12-J13</f>
        <v>1212.6705540995215</v>
      </c>
    </row>
    <row r="15" spans="1:10" x14ac:dyDescent="0.45">
      <c r="A15" s="1">
        <v>-4.7</v>
      </c>
      <c r="B15">
        <f>IF(Items!B$5, IF(Items!B$6, Curves!B15, 1-Curves!B15), 1)</f>
        <v>0.9915071371483557</v>
      </c>
      <c r="C15">
        <f>IF(Items!C$5, IF(Items!C$6, Curves!C15, 1-Curves!C15), 1)</f>
        <v>0.78050912454777777</v>
      </c>
      <c r="D15">
        <f>IF(Items!D$5, IF(Items!D$6, Curves!D15, 1-Curves!D15), 1)</f>
        <v>0.10019055450948322</v>
      </c>
      <c r="E15">
        <f>IF(Items!E$5, IF(Items!E$6, Curves!E15, 1-Curves!E15), 1)</f>
        <v>0.79998906079273224</v>
      </c>
      <c r="F15">
        <f>IF(Items!F$5, IF(Items!F$6, Curves!F15, 1-Curves!F15), 1)</f>
        <v>4.0956716498605043E-4</v>
      </c>
      <c r="G15">
        <f t="shared" si="0"/>
        <v>2.5404449584517773E-5</v>
      </c>
      <c r="I15" s="4" t="s">
        <v>21</v>
      </c>
      <c r="J15" s="8">
        <f>J12+J13</f>
        <v>1667.3294459004744</v>
      </c>
    </row>
    <row r="16" spans="1:10" x14ac:dyDescent="0.45">
      <c r="A16" s="1">
        <v>-4.5999999999999996</v>
      </c>
      <c r="B16">
        <f>IF(Items!B$5, IF(Items!B$6, Curves!B16, 1-Curves!B16), 1)</f>
        <v>0.98994918611652627</v>
      </c>
      <c r="C16">
        <f>IF(Items!C$5, IF(Items!C$6, Curves!C16, 1-Curves!C16), 1)</f>
        <v>0.77872240513850732</v>
      </c>
      <c r="D16">
        <f>IF(Items!D$5, IF(Items!D$6, Curves!D16, 1-Curves!D16), 1)</f>
        <v>0.10022812564169481</v>
      </c>
      <c r="E16">
        <f>IF(Items!E$5, IF(Items!E$6, Curves!E16, 1-Curves!E16), 1)</f>
        <v>0.79998663886252153</v>
      </c>
      <c r="F16">
        <f>IF(Items!F$5, IF(Items!F$6, Curves!F16, 1-Curves!F16), 1)</f>
        <v>4.6176157652407581E-4</v>
      </c>
      <c r="G16">
        <f t="shared" si="0"/>
        <v>2.8542085821616963E-5</v>
      </c>
      <c r="J16" s="5"/>
    </row>
    <row r="17" spans="1:10" x14ac:dyDescent="0.45">
      <c r="A17" s="1">
        <v>-4.5</v>
      </c>
      <c r="B17">
        <f>IF(Items!B$5, IF(Items!B$6, Curves!B17, 1-Curves!B17), 1)</f>
        <v>0.98810886835561296</v>
      </c>
      <c r="C17">
        <f>IF(Items!C$5, IF(Items!C$6, Curves!C17, 1-Curves!C17), 1)</f>
        <v>0.77677677133092737</v>
      </c>
      <c r="D17">
        <f>IF(Items!D$5, IF(Items!D$6, Curves!D17, 1-Curves!D17), 1)</f>
        <v>0.10027310232702603</v>
      </c>
      <c r="E17">
        <f>IF(Items!E$5, IF(Items!E$6, Curves!E17, 1-Curves!E17), 1)</f>
        <v>0.79998368073017612</v>
      </c>
      <c r="F17">
        <f>IF(Items!F$5, IF(Items!F$6, Curves!F17, 1-Curves!F17), 1)</f>
        <v>5.2060407411094257E-4</v>
      </c>
      <c r="G17">
        <f t="shared" si="0"/>
        <v>3.2053404853082427E-5</v>
      </c>
      <c r="I17" s="4"/>
      <c r="J17" s="5"/>
    </row>
    <row r="18" spans="1:10" x14ac:dyDescent="0.45">
      <c r="A18" s="1">
        <v>-4.4000000000000004</v>
      </c>
      <c r="B18">
        <f>IF(Items!B$5, IF(Items!B$6, Curves!B18, 1-Curves!B18), 1)</f>
        <v>0.98593637295675451</v>
      </c>
      <c r="C18">
        <f>IF(Items!C$5, IF(Items!C$6, Curves!C18, 1-Curves!C18), 1)</f>
        <v>0.7746590172967549</v>
      </c>
      <c r="D18">
        <f>IF(Items!D$5, IF(Items!D$6, Curves!D18, 1-Curves!D18), 1)</f>
        <v>0.10032694328189627</v>
      </c>
      <c r="E18">
        <f>IF(Items!E$5, IF(Items!E$6, Curves!E18, 1-Curves!E18), 1)</f>
        <v>0.79998006768884844</v>
      </c>
      <c r="F18">
        <f>IF(Items!F$5, IF(Items!F$6, Curves!F18, 1-Curves!F18), 1)</f>
        <v>5.8694049608080273E-4</v>
      </c>
      <c r="G18">
        <f t="shared" si="0"/>
        <v>3.5979099626334989E-5</v>
      </c>
      <c r="I18" s="4"/>
      <c r="J18" s="5"/>
    </row>
    <row r="19" spans="1:10" x14ac:dyDescent="0.45">
      <c r="A19" s="1">
        <v>-4.3</v>
      </c>
      <c r="B19">
        <f>IF(Items!B$5, IF(Items!B$6, Curves!B19, 1-Curves!B19), 1)</f>
        <v>0.98337364389211834</v>
      </c>
      <c r="C19">
        <f>IF(Items!C$5, IF(Items!C$6, Curves!C19, 1-Curves!C19), 1)</f>
        <v>0.77235501577097876</v>
      </c>
      <c r="D19">
        <f>IF(Items!D$5, IF(Items!D$6, Curves!D19, 1-Curves!D19), 1)</f>
        <v>0.10039139413310889</v>
      </c>
      <c r="E19">
        <f>IF(Items!E$5, IF(Items!E$6, Curves!E19, 1-Curves!E19), 1)</f>
        <v>0.79997565475447951</v>
      </c>
      <c r="F19">
        <f>IF(Items!F$5, IF(Items!F$6, Curves!F19, 1-Curves!F19), 1)</f>
        <v>6.6172404255704506E-4</v>
      </c>
      <c r="G19">
        <f t="shared" si="0"/>
        <v>4.0363210758425123E-5</v>
      </c>
    </row>
    <row r="20" spans="1:10" x14ac:dyDescent="0.45">
      <c r="A20" s="1">
        <v>-4.2</v>
      </c>
      <c r="B20">
        <f>IF(Items!B$5, IF(Items!B$6, Curves!B20, 1-Curves!B20), 1)</f>
        <v>0.98035323005231134</v>
      </c>
      <c r="C20">
        <f>IF(Items!C$5, IF(Items!C$6, Curves!C20, 1-Curves!C20), 1)</f>
        <v>0.76984968759311523</v>
      </c>
      <c r="D20">
        <f>IF(Items!D$5, IF(Items!D$6, Curves!D20, 1-Curves!D20), 1)</f>
        <v>0.10046854366669986</v>
      </c>
      <c r="E20">
        <f>IF(Items!E$5, IF(Items!E$6, Curves!E20, 1-Curves!E20), 1)</f>
        <v>0.79997026485031764</v>
      </c>
      <c r="F20">
        <f>IF(Items!F$5, IF(Items!F$6, Curves!F20, 1-Curves!F20), 1)</f>
        <v>7.4602883383669764E-4</v>
      </c>
      <c r="G20">
        <f t="shared" si="0"/>
        <v>4.5253074084712481E-5</v>
      </c>
    </row>
    <row r="21" spans="1:10" x14ac:dyDescent="0.45">
      <c r="A21" s="1">
        <v>-4.0999999999999996</v>
      </c>
      <c r="B21">
        <f>IF(Items!B$5, IF(Items!B$6, Curves!B21, 1-Curves!B21), 1)</f>
        <v>0.97679706185435589</v>
      </c>
      <c r="C21">
        <f>IF(Items!C$5, IF(Items!C$6, Curves!C21, 1-Curves!C21), 1)</f>
        <v>0.76712697743962799</v>
      </c>
      <c r="D21">
        <f>IF(Items!D$5, IF(Items!D$6, Curves!D21, 1-Curves!D21), 1)</f>
        <v>0.10056089102525921</v>
      </c>
      <c r="E21">
        <f>IF(Items!E$5, IF(Items!E$6, Curves!E21, 1-Curves!E21), 1)</f>
        <v>0.79996368170503807</v>
      </c>
      <c r="F21">
        <f>IF(Items!F$5, IF(Items!F$6, Curves!F21, 1-Curves!F21), 1)</f>
        <v>8.4106516230888139E-4</v>
      </c>
      <c r="G21">
        <f t="shared" si="0"/>
        <v>5.0699144156918529E-5</v>
      </c>
    </row>
    <row r="22" spans="1:10" x14ac:dyDescent="0.45">
      <c r="A22" s="1">
        <v>-4</v>
      </c>
      <c r="B22">
        <f>IF(Items!B$5, IF(Items!B$6, Curves!B22, 1-Curves!B22), 1)</f>
        <v>0.97261518904987432</v>
      </c>
      <c r="C22">
        <f>IF(Items!C$5, IF(Items!C$6, Curves!C22, 1-Curves!C22), 1)</f>
        <v>0.76416983756017065</v>
      </c>
      <c r="D22">
        <f>IF(Items!D$5, IF(Items!D$6, Curves!D22, 1-Curves!D22), 1)</f>
        <v>0.10067142595045303</v>
      </c>
      <c r="E22">
        <f>IF(Items!E$5, IF(Items!E$6, Curves!E22, 1-Curves!E22), 1)</f>
        <v>0.79995564118022178</v>
      </c>
      <c r="F22">
        <f>IF(Items!F$5, IF(Items!F$6, Curves!F22, 1-Curves!F22), 1)</f>
        <v>9.4819664435372543E-4</v>
      </c>
      <c r="G22">
        <f t="shared" si="0"/>
        <v>5.6754653792427666E-5</v>
      </c>
    </row>
    <row r="23" spans="1:10" x14ac:dyDescent="0.45">
      <c r="A23" s="1">
        <v>-3.9</v>
      </c>
      <c r="B23">
        <f>IF(Items!B$5, IF(Items!B$6, Curves!B23, 1-Curves!B23), 1)</f>
        <v>0.96770453530154943</v>
      </c>
      <c r="C23">
        <f>IF(Items!C$5, IF(Items!C$6, Curves!C23, 1-Curves!C23), 1)</f>
        <v>0.76096022160096</v>
      </c>
      <c r="D23">
        <f>IF(Items!D$5, IF(Items!D$6, Curves!D23, 1-Curves!D23), 1)</f>
        <v>0.10080372455406836</v>
      </c>
      <c r="E23">
        <f>IF(Items!E$5, IF(Items!E$6, Curves!E23, 1-Curves!E23), 1)</f>
        <v>0.79994582068030418</v>
      </c>
      <c r="F23">
        <f>IF(Items!F$5, IF(Items!F$6, Curves!F23, 1-Curves!F23), 1)</f>
        <v>1.0689595024419641E-3</v>
      </c>
      <c r="G23">
        <f t="shared" si="0"/>
        <v>6.3475062405509781E-5</v>
      </c>
    </row>
    <row r="24" spans="1:10" x14ac:dyDescent="0.45">
      <c r="A24" s="1">
        <v>-3.8</v>
      </c>
      <c r="B24">
        <f>IF(Items!B$5, IF(Items!B$6, Curves!B24, 1-Curves!B24), 1)</f>
        <v>0.96194775292900792</v>
      </c>
      <c r="C24">
        <f>IF(Items!C$5, IF(Items!C$6, Curves!C24, 1-Curves!C24), 1)</f>
        <v>0.75747909088154897</v>
      </c>
      <c r="D24">
        <f>IF(Items!D$5, IF(Items!D$6, Curves!D24, 1-Curves!D24), 1)</f>
        <v>0.10096206355219778</v>
      </c>
      <c r="E24">
        <f>IF(Items!E$5, IF(Items!E$6, Curves!E24, 1-Curves!E24), 1)</f>
        <v>0.7999338262217186</v>
      </c>
      <c r="F24">
        <f>IF(Items!F$5, IF(Items!F$6, Curves!F24, 1-Curves!F24), 1)</f>
        <v>1.205084233778948E-3</v>
      </c>
      <c r="G24">
        <f t="shared" si="0"/>
        <v>7.0917238948272626E-5</v>
      </c>
    </row>
    <row r="25" spans="1:10" x14ac:dyDescent="0.45">
      <c r="A25" s="1">
        <v>-3.7</v>
      </c>
      <c r="B25">
        <f>IF(Items!B$5, IF(Items!B$6, Curves!B25, 1-Curves!B25), 1)</f>
        <v>0.95521229695021326</v>
      </c>
      <c r="C25">
        <f>IF(Items!C$5, IF(Items!C$6, Curves!C25, 1-Curves!C25), 1)</f>
        <v>0.75370643577891117</v>
      </c>
      <c r="D25">
        <f>IF(Items!D$5, IF(Items!D$6, Curves!D25, 1-Curves!D25), 1)</f>
        <v>0.10115155642101671</v>
      </c>
      <c r="E25">
        <f>IF(Items!E$5, IF(Items!E$6, Curves!E25, 1-Curves!E25), 1)</f>
        <v>0.79991917664487378</v>
      </c>
      <c r="F25">
        <f>IF(Items!F$5, IF(Items!F$6, Curves!F25, 1-Curves!F25), 1)</f>
        <v>1.3585199504289591E-3</v>
      </c>
      <c r="G25">
        <f t="shared" si="0"/>
        <v>7.9138320081297784E-5</v>
      </c>
    </row>
    <row r="26" spans="1:10" x14ac:dyDescent="0.45">
      <c r="A26" s="1">
        <v>-3.6</v>
      </c>
      <c r="B26">
        <f>IF(Items!B$5, IF(Items!B$6, Curves!B26, 1-Curves!B26), 1)</f>
        <v>0.94734988156469713</v>
      </c>
      <c r="C26">
        <f>IF(Items!C$5, IF(Items!C$6, Curves!C26, 1-Curves!C26), 1)</f>
        <v>0.74962131515440278</v>
      </c>
      <c r="D26">
        <f>IF(Items!D$5, IF(Items!D$6, Curves!D26, 1-Curves!D26), 1)</f>
        <v>0.10137831553630296</v>
      </c>
      <c r="E26">
        <f>IF(Items!E$5, IF(Items!E$6, Curves!E26, 1-Curves!E26), 1)</f>
        <v>0.79990128433921104</v>
      </c>
      <c r="F26">
        <f>IF(Items!F$5, IF(Items!F$6, Curves!F26, 1-Curves!F26), 1)</f>
        <v>1.5314617070032849E-3</v>
      </c>
      <c r="G26">
        <f t="shared" si="0"/>
        <v>8.8194182557012411E-5</v>
      </c>
    </row>
    <row r="27" spans="1:10" x14ac:dyDescent="0.45">
      <c r="A27" s="1">
        <v>-3.5000000000000102</v>
      </c>
      <c r="B27">
        <f>IF(Items!B$5, IF(Items!B$6, Curves!B27, 1-Curves!B27), 1)</f>
        <v>0.93819653373641243</v>
      </c>
      <c r="C27">
        <f>IF(Items!C$5, IF(Items!C$6, Curves!C27, 1-Curves!C27), 1)</f>
        <v>0.74520191702053951</v>
      </c>
      <c r="D27">
        <f>IF(Items!D$5, IF(Items!D$6, Curves!D27, 1-Curves!D27), 1)</f>
        <v>0.1016496450482435</v>
      </c>
      <c r="E27">
        <f>IF(Items!E$5, IF(Items!E$6, Curves!E27, 1-Curves!E27), 1)</f>
        <v>0.79987943171355225</v>
      </c>
      <c r="F27">
        <f>IF(Items!F$5, IF(Items!F$6, Curves!F27, 1-Curves!F27), 1)</f>
        <v>1.7263811657371314E-3</v>
      </c>
      <c r="G27">
        <f t="shared" si="0"/>
        <v>9.8137473411128657E-5</v>
      </c>
    </row>
    <row r="28" spans="1:10" x14ac:dyDescent="0.45">
      <c r="A28" s="1">
        <v>-3.4000000000000101</v>
      </c>
      <c r="B28">
        <f>IF(Items!B$5, IF(Items!B$6, Curves!B28, 1-Curves!B28), 1)</f>
        <v>0.92757351463848348</v>
      </c>
      <c r="C28">
        <f>IF(Items!C$5, IF(Items!C$6, Curves!C28, 1-Curves!C28), 1)</f>
        <v>0.74042564386717802</v>
      </c>
      <c r="D28">
        <f>IF(Items!D$5, IF(Items!D$6, Curves!D28, 1-Curves!D28), 1)</f>
        <v>0.10197427002103784</v>
      </c>
      <c r="E28">
        <f>IF(Items!E$5, IF(Items!E$6, Curves!E28, 1-Curves!E28), 1)</f>
        <v>0.79985274247602922</v>
      </c>
      <c r="F28">
        <f>IF(Items!F$5, IF(Items!F$6, Curves!F28, 1-Curves!F28), 1)</f>
        <v>1.9460609850855358E-3</v>
      </c>
      <c r="G28">
        <f t="shared" si="0"/>
        <v>1.0901515598085428E-4</v>
      </c>
    </row>
    <row r="29" spans="1:10" x14ac:dyDescent="0.45">
      <c r="A29" s="1">
        <v>-3.30000000000001</v>
      </c>
      <c r="B29">
        <f>IF(Items!B$5, IF(Items!B$6, Curves!B29, 1-Curves!B29), 1)</f>
        <v>0.91528943426926557</v>
      </c>
      <c r="C29">
        <f>IF(Items!C$5, IF(Items!C$6, Curves!C29, 1-Curves!C29), 1)</f>
        <v>0.73526922622762825</v>
      </c>
      <c r="D29">
        <f>IF(Items!D$5, IF(Items!D$6, Curves!D29, 1-Curves!D29), 1)</f>
        <v>0.10236260823099413</v>
      </c>
      <c r="E29">
        <f>IF(Items!E$5, IF(Items!E$6, Curves!E29, 1-Curves!E29), 1)</f>
        <v>0.7998201465838134</v>
      </c>
      <c r="F29">
        <f>IF(Items!F$5, IF(Items!F$6, Curves!F29, 1-Curves!F29), 1)</f>
        <v>2.1936333567087185E-3</v>
      </c>
      <c r="G29">
        <f t="shared" si="0"/>
        <v>1.2086555835222249E-4</v>
      </c>
    </row>
    <row r="30" spans="1:10" x14ac:dyDescent="0.45">
      <c r="A30" s="1">
        <v>-3.2000000000000099</v>
      </c>
      <c r="B30">
        <f>IF(Items!B$5, IF(Items!B$6, Curves!B30, 1-Curves!B30), 1)</f>
        <v>0.90114392682183209</v>
      </c>
      <c r="C30">
        <f>IF(Items!C$5, IF(Items!C$6, Curves!C30, 1-Curves!C30), 1)</f>
        <v>0.72970886813655955</v>
      </c>
      <c r="D30">
        <f>IF(Items!D$5, IF(Items!D$6, Curves!D30, 1-Curves!D30), 1)</f>
        <v>0.10282709195634644</v>
      </c>
      <c r="E30">
        <f>IF(Items!E$5, IF(Items!E$6, Curves!E30, 1-Curves!E30), 1)</f>
        <v>0.7997803374751189</v>
      </c>
      <c r="F30">
        <f>IF(Items!F$5, IF(Items!F$6, Curves!F30, 1-Curves!F30), 1)</f>
        <v>2.4726231566347457E-3</v>
      </c>
      <c r="G30">
        <f t="shared" si="0"/>
        <v>1.3371495828439658E-4</v>
      </c>
    </row>
    <row r="31" spans="1:10" x14ac:dyDescent="0.45">
      <c r="A31" s="1">
        <v>-3.1000000000000099</v>
      </c>
      <c r="B31">
        <f>IF(Items!B$5, IF(Items!B$6, Curves!B31, 1-Curves!B31), 1)</f>
        <v>0.88493326795445193</v>
      </c>
      <c r="C31">
        <f>IF(Items!C$5, IF(Items!C$6, Curves!C31, 1-Curves!C31), 1)</f>
        <v>0.72372042808071302</v>
      </c>
      <c r="D31">
        <f>IF(Items!D$5, IF(Items!D$6, Curves!D31, 1-Curves!D31), 1)</f>
        <v>0.10338254808265067</v>
      </c>
      <c r="E31">
        <f>IF(Items!E$5, IF(Items!E$6, Curves!E31, 1-Curves!E31), 1)</f>
        <v>0.79973171989562686</v>
      </c>
      <c r="F31">
        <f>IF(Items!F$5, IF(Items!F$6, Curves!F31, 1-Curves!F31), 1)</f>
        <v>2.7869962190422469E-3</v>
      </c>
      <c r="G31">
        <f t="shared" si="0"/>
        <v>1.4757380903797408E-4</v>
      </c>
    </row>
    <row r="32" spans="1:10" x14ac:dyDescent="0.45">
      <c r="A32" s="1">
        <v>-3.0000000000000102</v>
      </c>
      <c r="B32">
        <f>IF(Items!B$5, IF(Items!B$6, Curves!B32, 1-Curves!B32), 1)</f>
        <v>0.86645827746678949</v>
      </c>
      <c r="C32">
        <f>IF(Items!C$5, IF(Items!C$6, Curves!C32, 1-Curves!C32), 1)</f>
        <v>0.71727963883340096</v>
      </c>
      <c r="D32">
        <f>IF(Items!D$5, IF(Items!D$6, Curves!D32, 1-Curves!D32), 1)</f>
        <v>0.10404664584484699</v>
      </c>
      <c r="E32">
        <f>IF(Items!E$5, IF(Items!E$6, Curves!E32, 1-Curves!E32), 1)</f>
        <v>0.79967234626801109</v>
      </c>
      <c r="F32">
        <f>IF(Items!F$5, IF(Items!F$6, Curves!F32, 1-Curves!F32), 1)</f>
        <v>3.1412132848293883E-3</v>
      </c>
      <c r="G32">
        <f t="shared" si="0"/>
        <v>1.6243280555147856E-4</v>
      </c>
    </row>
    <row r="33" spans="1:7" x14ac:dyDescent="0.45">
      <c r="A33" s="1">
        <v>-2.9000000000000101</v>
      </c>
      <c r="B33">
        <f>IF(Items!B$5, IF(Items!B$6, Curves!B33, 1-Curves!B33), 1)</f>
        <v>0.84553473491646758</v>
      </c>
      <c r="C33">
        <f>IF(Items!C$5, IF(Items!C$6, Curves!C33, 1-Curves!C33), 1)</f>
        <v>0.71036236915440842</v>
      </c>
      <c r="D33">
        <f>IF(Items!D$5, IF(Items!D$6, Curves!D33, 1-Curves!D33), 1)</f>
        <v>0.10484042245646366</v>
      </c>
      <c r="E33">
        <f>IF(Items!E$5, IF(Items!E$6, Curves!E33, 1-Curves!E33), 1)</f>
        <v>0.79959983911433641</v>
      </c>
      <c r="F33">
        <f>IF(Items!F$5, IF(Items!F$6, Curves!F33, 1-Curves!F33), 1)</f>
        <v>3.5402902209464627E-3</v>
      </c>
      <c r="G33">
        <f t="shared" si="0"/>
        <v>1.7825910680877214E-4</v>
      </c>
    </row>
    <row r="34" spans="1:7" x14ac:dyDescent="0.45">
      <c r="A34" s="1">
        <v>-2.80000000000001</v>
      </c>
      <c r="B34">
        <f>IF(Items!B$5, IF(Items!B$6, Curves!B34, 1-Curves!B34), 1)</f>
        <v>0.82200631421375603</v>
      </c>
      <c r="C34">
        <f>IF(Items!C$5, IF(Items!C$6, Curves!C34, 1-Curves!C34), 1)</f>
        <v>0.70294492968661126</v>
      </c>
      <c r="D34">
        <f>IF(Items!D$5, IF(Items!D$6, Curves!D34, 1-Curves!D34), 1)</f>
        <v>0.10578889762022667</v>
      </c>
      <c r="E34">
        <f>IF(Items!E$5, IF(Items!E$6, Curves!E34, 1-Curves!E34), 1)</f>
        <v>0.79951129651245245</v>
      </c>
      <c r="F34">
        <f>IF(Items!F$5, IF(Items!F$6, Curves!F34, 1-Curves!F34), 1)</f>
        <v>3.9898651489940545E-3</v>
      </c>
      <c r="G34">
        <f t="shared" si="0"/>
        <v>1.9499315656714417E-4</v>
      </c>
    </row>
    <row r="35" spans="1:7" x14ac:dyDescent="0.45">
      <c r="A35" s="1">
        <v>-2.7000000000000099</v>
      </c>
      <c r="B35">
        <f>IF(Items!B$5, IF(Items!B$6, Curves!B35, 1-Curves!B35), 1)</f>
        <v>0.79575969771591093</v>
      </c>
      <c r="C35">
        <f>IF(Items!C$5, IF(Items!C$6, Curves!C35, 1-Curves!C35), 1)</f>
        <v>0.6950044244491822</v>
      </c>
      <c r="D35">
        <f>IF(Items!D$5, IF(Items!D$6, Curves!D35, 1-Curves!D35), 1)</f>
        <v>0.10692178829335738</v>
      </c>
      <c r="E35">
        <f>IF(Items!E$5, IF(Items!E$6, Curves!E35, 1-Curves!E35), 1)</f>
        <v>0.79940317693293061</v>
      </c>
      <c r="F35">
        <f>IF(Items!F$5, IF(Items!F$6, Curves!F35, 1-Curves!F35), 1)</f>
        <v>4.496273160941127E-3</v>
      </c>
      <c r="G35">
        <f t="shared" si="0"/>
        <v>2.1254665813234578E-4</v>
      </c>
    </row>
    <row r="36" spans="1:7" x14ac:dyDescent="0.45">
      <c r="A36" s="1">
        <v>-2.6000000000000099</v>
      </c>
      <c r="B36">
        <f>IF(Items!B$5, IF(Items!B$6, Curves!B36, 1-Curves!B36), 1)</f>
        <v>0.76674106422854582</v>
      </c>
      <c r="C36">
        <f>IF(Items!C$5, IF(Items!C$6, Curves!C36, 1-Curves!C36), 1)</f>
        <v>0.68651914807961067</v>
      </c>
      <c r="D36">
        <f>IF(Items!D$5, IF(Items!D$6, Curves!D36, 1-Curves!D36), 1)</f>
        <v>0.10827433483055915</v>
      </c>
      <c r="E36">
        <f>IF(Items!E$5, IF(Items!E$6, Curves!E36, 1-Curves!E36), 1)</f>
        <v>0.79927115904447943</v>
      </c>
      <c r="F36">
        <f>IF(Items!F$5, IF(Items!F$6, Curves!F36, 1-Curves!F36), 1)</f>
        <v>5.0666293334661961E-3</v>
      </c>
      <c r="G36">
        <f t="shared" si="0"/>
        <v>2.3080232419659611E-4</v>
      </c>
    </row>
    <row r="37" spans="1:7" x14ac:dyDescent="0.45">
      <c r="A37" s="1">
        <v>-2.5000000000000102</v>
      </c>
      <c r="B37">
        <f>IF(Items!B$5, IF(Items!B$6, Curves!B37, 1-Curves!B37), 1)</f>
        <v>0.73497259946652216</v>
      </c>
      <c r="C37">
        <f>IF(Items!C$5, IF(Items!C$6, Curves!C37, 1-Curves!C37), 1)</f>
        <v>0.67746902738793202</v>
      </c>
      <c r="D37">
        <f>IF(Items!D$5, IF(Items!D$6, Curves!D37, 1-Curves!D37), 1)</f>
        <v>0.10988824836753369</v>
      </c>
      <c r="E37">
        <f>IF(Items!E$5, IF(Items!E$6, Curves!E37, 1-Curves!E37), 1)</f>
        <v>0.79910997117371174</v>
      </c>
      <c r="F37">
        <f>IF(Items!F$5, IF(Items!F$6, Curves!F37, 1-Curves!F37), 1)</f>
        <v>5.7089207770232723E-3</v>
      </c>
      <c r="G37">
        <f t="shared" si="0"/>
        <v>2.4961599460884517E-4</v>
      </c>
    </row>
    <row r="38" spans="1:7" x14ac:dyDescent="0.45">
      <c r="A38" s="1">
        <v>-2.4000000000000101</v>
      </c>
      <c r="B38">
        <f>IF(Items!B$5, IF(Items!B$6, Curves!B38, 1-Curves!B38), 1)</f>
        <v>0.70056714247397656</v>
      </c>
      <c r="C38">
        <f>IF(Items!C$5, IF(Items!C$6, Curves!C38, 1-Curves!C38), 1)</f>
        <v>0.66783610384750935</v>
      </c>
      <c r="D38">
        <f>IF(Items!D$5, IF(Items!D$6, Curves!D38, 1-Curves!D38), 1)</f>
        <v>0.11181278650339231</v>
      </c>
      <c r="E38">
        <f>IF(Items!E$5, IF(Items!E$6, Curves!E38, 1-Curves!E38), 1)</f>
        <v>0.79891318403965683</v>
      </c>
      <c r="F38">
        <f>IF(Items!F$5, IF(Items!F$6, Curves!F38, 1-Curves!F38), 1)</f>
        <v>6.4321084669185617E-3</v>
      </c>
      <c r="G38">
        <f t="shared" si="0"/>
        <v>2.6882154731830882E-4</v>
      </c>
    </row>
    <row r="39" spans="1:7" x14ac:dyDescent="0.45">
      <c r="A39" s="1">
        <v>-2.30000000000001</v>
      </c>
      <c r="B39">
        <f>IF(Items!B$5, IF(Items!B$6, Curves!B39, 1-Curves!B39), 1)</f>
        <v>0.66373869740435643</v>
      </c>
      <c r="C39">
        <f>IF(Items!C$5, IF(Items!C$6, Curves!C39, 1-Curves!C39), 1)</f>
        <v>0.65760505137100389</v>
      </c>
      <c r="D39">
        <f>IF(Items!D$5, IF(Items!D$6, Curves!D39, 1-Curves!D39), 1)</f>
        <v>0.11410595925944346</v>
      </c>
      <c r="E39">
        <f>IF(Items!E$5, IF(Items!E$6, Curves!E39, 1-Curves!E39), 1)</f>
        <v>0.79867295913586045</v>
      </c>
      <c r="F39">
        <f>IF(Items!F$5, IF(Items!F$6, Curves!F39, 1-Curves!F39), 1)</f>
        <v>7.2462395958313398E-3</v>
      </c>
      <c r="G39">
        <f t="shared" si="0"/>
        <v>2.8823869049684564E-4</v>
      </c>
    </row>
    <row r="40" spans="1:7" x14ac:dyDescent="0.45">
      <c r="A40" s="1">
        <v>-2.2000000000000099</v>
      </c>
      <c r="B40">
        <f>IF(Items!B$5, IF(Items!B$6, Curves!B40, 1-Curves!B40), 1)</f>
        <v>0.62480647446843318</v>
      </c>
      <c r="C40">
        <f>IF(Items!C$5, IF(Items!C$6, Curves!C40, 1-Curves!C40), 1)</f>
        <v>0.64676372115082703</v>
      </c>
      <c r="D40">
        <f>IF(Items!D$5, IF(Items!D$6, Curves!D40, 1-Curves!D40), 1)</f>
        <v>0.11683585895891885</v>
      </c>
      <c r="E40">
        <f>IF(Items!E$5, IF(Items!E$6, Curves!E40, 1-Curves!E40), 1)</f>
        <v>0.79837974368876008</v>
      </c>
      <c r="F40">
        <f>IF(Items!F$5, IF(Items!F$6, Curves!F40, 1-Curves!F40), 1)</f>
        <v>8.162571153159803E-3</v>
      </c>
      <c r="G40">
        <f t="shared" si="0"/>
        <v>3.0768322408183734E-4</v>
      </c>
    </row>
    <row r="41" spans="1:7" x14ac:dyDescent="0.45">
      <c r="A41" s="1">
        <v>-2.1000000000000099</v>
      </c>
      <c r="B41">
        <f>IF(Items!B$5, IF(Items!B$6, Curves!B41, 1-Curves!B41), 1)</f>
        <v>0.5841905229354114</v>
      </c>
      <c r="C41">
        <f>IF(Items!C$5, IF(Items!C$6, Curves!C41, 1-Curves!C41), 1)</f>
        <v>0.63530370255924329</v>
      </c>
      <c r="D41">
        <f>IF(Items!D$5, IF(Items!D$6, Curves!D41, 1-Curves!D41), 1)</f>
        <v>0.12008209482912867</v>
      </c>
      <c r="E41">
        <f>IF(Items!E$5, IF(Items!E$6, Curves!E41, 1-Curves!E41), 1)</f>
        <v>0.79802190147469221</v>
      </c>
      <c r="F41">
        <f>IF(Items!F$5, IF(Items!F$6, Curves!F41, 1-Curves!F41), 1)</f>
        <v>9.1937053672879812E-3</v>
      </c>
      <c r="G41">
        <f t="shared" si="0"/>
        <v>3.2697875930820465E-4</v>
      </c>
    </row>
    <row r="42" spans="1:7" x14ac:dyDescent="0.45">
      <c r="A42" s="1">
        <v>-2.0000000000000102</v>
      </c>
      <c r="B42">
        <f>IF(Items!B$5, IF(Items!B$6, Curves!B42, 1-Curves!B42), 1)</f>
        <v>0.54239794077435532</v>
      </c>
      <c r="C42">
        <f>IF(Items!C$5, IF(Items!C$6, Curves!C42, 1-Curves!C42), 1)</f>
        <v>0.62322088622385097</v>
      </c>
      <c r="D42">
        <f>IF(Items!D$5, IF(Items!D$6, Curves!D42, 1-Curves!D42), 1)</f>
        <v>0.12393729421917885</v>
      </c>
      <c r="E42">
        <f>IF(Items!E$5, IF(Items!E$6, Curves!E42, 1-Curves!E42), 1)</f>
        <v>0.79758526694023324</v>
      </c>
      <c r="F42">
        <f>IF(Items!F$5, IF(Items!F$6, Curves!F42, 1-Curves!F42), 1)</f>
        <v>1.0353737531091624E-2</v>
      </c>
      <c r="G42">
        <f t="shared" si="0"/>
        <v>3.4596830711765405E-4</v>
      </c>
    </row>
    <row r="43" spans="1:7" x14ac:dyDescent="0.45">
      <c r="A43" s="1">
        <v>-1.9000000000000099</v>
      </c>
      <c r="B43">
        <f>IF(Items!B$5, IF(Items!B$6, Curves!B43, 1-Curves!B43), 1)</f>
        <v>0.50000000000000422</v>
      </c>
      <c r="C43">
        <f>IF(Items!C$5, IF(Items!C$6, Curves!C43, 1-Curves!C43), 1)</f>
        <v>0.61051601258148569</v>
      </c>
      <c r="D43">
        <f>IF(Items!D$5, IF(Items!D$6, Curves!D43, 1-Curves!D43), 1)</f>
        <v>0.12850860554115029</v>
      </c>
      <c r="E43">
        <f>IF(Items!E$5, IF(Items!E$6, Curves!E43, 1-Curves!E43), 1)</f>
        <v>0.7970526080804512</v>
      </c>
      <c r="F43">
        <f>IF(Items!F$5, IF(Items!F$6, Curves!F43, 1-Curves!F43), 1)</f>
        <v>1.1658416554832962E-2</v>
      </c>
      <c r="G43">
        <f t="shared" si="0"/>
        <v>3.6452375072716799E-4</v>
      </c>
    </row>
    <row r="44" spans="1:7" x14ac:dyDescent="0.45">
      <c r="A44" s="1">
        <v>-1.80000000000001</v>
      </c>
      <c r="B44">
        <f>IF(Items!B$5, IF(Items!B$6, Curves!B44, 1-Curves!B44), 1)</f>
        <v>0.45760205922565333</v>
      </c>
      <c r="C44">
        <f>IF(Items!C$5, IF(Items!C$6, Curves!C44, 1-Curves!C44), 1)</f>
        <v>0.59719518667013105</v>
      </c>
      <c r="D44">
        <f>IF(Items!D$5, IF(Items!D$6, Curves!D44, 1-Curves!D44), 1)</f>
        <v>0.13391910145774474</v>
      </c>
      <c r="E44">
        <f>IF(Items!E$5, IF(Items!E$6, Curves!E44, 1-Curves!E44), 1)</f>
        <v>0.79640298147124711</v>
      </c>
      <c r="F44">
        <f>IF(Items!F$5, IF(Items!F$6, Curves!F44, 1-Curves!F44), 1)</f>
        <v>1.3125318337102648E-2</v>
      </c>
      <c r="G44">
        <f t="shared" si="0"/>
        <v>3.8255115559816485E-4</v>
      </c>
    </row>
    <row r="45" spans="1:7" x14ac:dyDescent="0.45">
      <c r="A45" s="1">
        <v>-1.7000000000000099</v>
      </c>
      <c r="B45">
        <f>IF(Items!B$5, IF(Items!B$6, Curves!B45, 1-Curves!B45), 1)</f>
        <v>0.41580947706459681</v>
      </c>
      <c r="C45">
        <f>IF(Items!C$5, IF(Items!C$6, Curves!C45, 1-Curves!C45), 1)</f>
        <v>0.5832703378794466</v>
      </c>
      <c r="D45">
        <f>IF(Items!D$5, IF(Items!D$6, Curves!D45, 1-Curves!D45), 1)</f>
        <v>0.14030893274480738</v>
      </c>
      <c r="E45">
        <f>IF(Items!E$5, IF(Items!E$6, Curves!E45, 1-Curves!E45), 1)</f>
        <v>0.79561096088043981</v>
      </c>
      <c r="F45">
        <f>IF(Items!F$5, IF(Items!F$6, Curves!F45, 1-Curves!F45), 1)</f>
        <v>1.4774031693272887E-2</v>
      </c>
      <c r="G45">
        <f t="shared" si="0"/>
        <v>3.999902264077951E-4</v>
      </c>
    </row>
    <row r="46" spans="1:7" x14ac:dyDescent="0.45">
      <c r="A46" s="1">
        <v>-1.6000000000000101</v>
      </c>
      <c r="B46">
        <f>IF(Items!B$5, IF(Items!B$6, Curves!B46, 1-Curves!B46), 1)</f>
        <v>0.37519352553157481</v>
      </c>
      <c r="C46">
        <f>IF(Items!C$5, IF(Items!C$6, Curves!C46, 1-Curves!C46), 1)</f>
        <v>0.56875960210000465</v>
      </c>
      <c r="D46">
        <f>IF(Items!D$5, IF(Items!D$6, Curves!D46, 1-Curves!D46), 1)</f>
        <v>0.14783602275825652</v>
      </c>
      <c r="E46">
        <f>IF(Items!E$5, IF(Items!E$6, Curves!E46, 1-Curves!E46), 1)</f>
        <v>0.79464571926057226</v>
      </c>
      <c r="F46">
        <f>IF(Items!F$5, IF(Items!F$6, Curves!F46, 1-Curves!F46), 1)</f>
        <v>1.6626356107881435E-2</v>
      </c>
      <c r="G46">
        <f t="shared" si="0"/>
        <v>4.1680697081877962E-4</v>
      </c>
    </row>
    <row r="47" spans="1:7" x14ac:dyDescent="0.45">
      <c r="A47" s="1">
        <v>-1.50000000000001</v>
      </c>
      <c r="B47">
        <f>IF(Items!B$5, IF(Items!B$6, Curves!B47, 1-Curves!B47), 1)</f>
        <v>0.33626130259565112</v>
      </c>
      <c r="C47">
        <f>IF(Items!C$5, IF(Items!C$6, Curves!C47, 1-Curves!C47), 1)</f>
        <v>0.55368760344143197</v>
      </c>
      <c r="D47">
        <f>IF(Items!D$5, IF(Items!D$6, Curves!D47, 1-Curves!D47), 1)</f>
        <v>0.15667602045129589</v>
      </c>
      <c r="E47">
        <f>IF(Items!E$5, IF(Items!E$6, Curves!E47, 1-Curves!E47), 1)</f>
        <v>0.79346994307747221</v>
      </c>
      <c r="F47">
        <f>IF(Items!F$5, IF(Items!F$6, Curves!F47, 1-Curves!F47), 1)</f>
        <v>1.8706509954354383E-2</v>
      </c>
      <c r="G47">
        <f t="shared" si="0"/>
        <v>4.3297963771692213E-4</v>
      </c>
    </row>
    <row r="48" spans="1:7" x14ac:dyDescent="0.45">
      <c r="A48" s="1">
        <v>-1.4000000000000099</v>
      </c>
      <c r="B48">
        <f>IF(Items!B$5, IF(Items!B$6, Curves!B48, 1-Curves!B48), 1)</f>
        <v>0.29943285752603066</v>
      </c>
      <c r="C48">
        <f>IF(Items!C$5, IF(Items!C$6, Curves!C48, 1-Curves!C48), 1)</f>
        <v>0.53808561365420993</v>
      </c>
      <c r="D48">
        <f>IF(Items!D$5, IF(Items!D$6, Curves!D48, 1-Curves!D48), 1)</f>
        <v>0.16702115064942419</v>
      </c>
      <c r="E48">
        <f>IF(Items!E$5, IF(Items!E$6, Curves!E48, 1-Curves!E48), 1)</f>
        <v>0.79203855850647664</v>
      </c>
      <c r="F48">
        <f>IF(Items!F$5, IF(Items!F$6, Curves!F48, 1-Curves!F48), 1)</f>
        <v>2.1041347020468035E-2</v>
      </c>
      <c r="G48">
        <f t="shared" si="0"/>
        <v>4.4847906051395946E-4</v>
      </c>
    </row>
    <row r="49" spans="1:7" x14ac:dyDescent="0.45">
      <c r="A49" s="1">
        <v>-1.30000000000001</v>
      </c>
      <c r="B49">
        <f>IF(Items!B$5, IF(Items!B$6, Curves!B49, 1-Curves!B49), 1)</f>
        <v>0.26502740053348461</v>
      </c>
      <c r="C49">
        <f>IF(Items!C$5, IF(Items!C$6, Curves!C49, 1-Curves!C49), 1)</f>
        <v>0.52199156975419725</v>
      </c>
      <c r="D49">
        <f>IF(Items!D$5, IF(Items!D$6, Curves!D49, 1-Curves!D49), 1)</f>
        <v>0.17907752334636981</v>
      </c>
      <c r="E49">
        <f>IF(Items!E$5, IF(Items!E$6, Curves!E49, 1-Curves!E49), 1)</f>
        <v>0.79029725201258083</v>
      </c>
      <c r="F49">
        <f>IF(Items!F$5, IF(Items!F$6, Curves!F49, 1-Curves!F49), 1)</f>
        <v>2.3660578155460927E-2</v>
      </c>
      <c r="G49">
        <f t="shared" si="0"/>
        <v>4.6324545800809617E-4</v>
      </c>
    </row>
    <row r="50" spans="1:7" x14ac:dyDescent="0.45">
      <c r="A50" s="1">
        <v>-1.2000000000000099</v>
      </c>
      <c r="B50">
        <f>IF(Items!B$5, IF(Items!B$6, Curves!B50, 1-Curves!B50), 1)</f>
        <v>0.23325893577146029</v>
      </c>
      <c r="C50">
        <f>IF(Items!C$5, IF(Items!C$6, Curves!C50, 1-Curves!C50), 1)</f>
        <v>0.50544993418888295</v>
      </c>
      <c r="D50">
        <f>IF(Items!D$5, IF(Items!D$6, Curves!D50, 1-Curves!D50), 1)</f>
        <v>0.19306040631242313</v>
      </c>
      <c r="E50">
        <f>IF(Items!E$5, IF(Items!E$6, Curves!E50, 1-Curves!E50), 1)</f>
        <v>0.78818077464538172</v>
      </c>
      <c r="F50">
        <f>IF(Items!F$5, IF(Items!F$6, Curves!F50, 1-Curves!F50), 1)</f>
        <v>2.6596993576865555E-2</v>
      </c>
      <c r="G50">
        <f t="shared" si="0"/>
        <v>4.7716440127525529E-4</v>
      </c>
    </row>
    <row r="51" spans="1:7" x14ac:dyDescent="0.45">
      <c r="A51" s="1">
        <v>-1.1000000000000101</v>
      </c>
      <c r="B51">
        <f>IF(Items!B$5, IF(Items!B$6, Curves!B51, 1-Curves!B51), 1)</f>
        <v>0.20424030228409451</v>
      </c>
      <c r="C51">
        <f>IF(Items!C$5, IF(Items!C$6, Curves!C51, 1-Curves!C51), 1)</f>
        <v>0.48851138715937925</v>
      </c>
      <c r="D51">
        <f>IF(Items!D$5, IF(Items!D$6, Curves!D51, 1-Curves!D51), 1)</f>
        <v>0.20918695410256144</v>
      </c>
      <c r="E51">
        <f>IF(Items!E$5, IF(Items!E$6, Curves!E51, 1-Curves!E51), 1)</f>
        <v>0.78561103203032701</v>
      </c>
      <c r="F51">
        <f>IF(Items!F$5, IF(Items!F$6, Curves!F51, 1-Curves!F51), 1)</f>
        <v>2.9886679803635886E-2</v>
      </c>
      <c r="G51">
        <f t="shared" si="0"/>
        <v>4.9004501607626081E-4</v>
      </c>
    </row>
    <row r="52" spans="1:7" x14ac:dyDescent="0.45">
      <c r="A52" s="1">
        <v>-1.00000000000001</v>
      </c>
      <c r="B52">
        <f>IF(Items!B$5, IF(Items!B$6, Curves!B52, 1-Curves!B52), 1)</f>
        <v>0.17799368578624908</v>
      </c>
      <c r="C52">
        <f>IF(Items!C$5, IF(Items!C$6, Curves!C52, 1-Curves!C52), 1)</f>
        <v>0.47123234724693375</v>
      </c>
      <c r="D52">
        <f>IF(Items!D$5, IF(Items!D$6, Curves!D52, 1-Curves!D52), 1)</f>
        <v>0.22766595841043705</v>
      </c>
      <c r="E52">
        <f>IF(Items!E$5, IF(Items!E$6, Curves!E52, 1-Curves!E52), 1)</f>
        <v>0.7824949832510959</v>
      </c>
      <c r="F52">
        <f>IF(Items!F$5, IF(Items!F$6, Curves!F52, 1-Curves!F52), 1)</f>
        <v>3.3569223281482131E-2</v>
      </c>
      <c r="G52">
        <f t="shared" si="0"/>
        <v>5.0160359826240662E-4</v>
      </c>
    </row>
    <row r="53" spans="1:7" x14ac:dyDescent="0.45">
      <c r="A53" s="1">
        <v>-0.90000000000001001</v>
      </c>
      <c r="B53">
        <f>IF(Items!B$5, IF(Items!B$6, Curves!B53, 1-Curves!B53), 1)</f>
        <v>0.15446526508353697</v>
      </c>
      <c r="C53">
        <f>IF(Items!C$5, IF(Items!C$6, Curves!C53, 1-Curves!C53), 1)</f>
        <v>0.45367432397236529</v>
      </c>
      <c r="D53">
        <f>IF(Items!D$5, IF(Items!D$6, Curves!D53, 1-Curves!D53), 1)</f>
        <v>0.24868438317155092</v>
      </c>
      <c r="E53">
        <f>IF(Items!E$5, IF(Items!E$6, Curves!E53, 1-Curves!E53), 1)</f>
        <v>0.77872240513850777</v>
      </c>
      <c r="F53">
        <f>IF(Items!F$5, IF(Items!F$6, Curves!F53, 1-Curves!F53), 1)</f>
        <v>3.7687890508605493E-2</v>
      </c>
      <c r="G53">
        <f t="shared" si="0"/>
        <v>5.1145572936430448E-4</v>
      </c>
    </row>
    <row r="54" spans="1:7" x14ac:dyDescent="0.45">
      <c r="A54" s="1">
        <v>-0.80000000000001004</v>
      </c>
      <c r="B54">
        <f>IF(Items!B$5, IF(Items!B$6, Curves!B54, 1-Curves!B54), 1)</f>
        <v>0.13354172253321439</v>
      </c>
      <c r="C54">
        <f>IF(Items!C$5, IF(Items!C$6, Curves!C54, 1-Curves!C54), 1)</f>
        <v>0.43590311389886582</v>
      </c>
      <c r="D54">
        <f>IF(Items!D$5, IF(Items!D$6, Curves!D54, 1-Curves!D54), 1)</f>
        <v>0.27239081370531826</v>
      </c>
      <c r="E54">
        <f>IF(Items!E$5, IF(Items!E$6, Curves!E54, 1-Curves!E54), 1)</f>
        <v>0.77416362824124008</v>
      </c>
      <c r="F54">
        <f>IF(Items!F$5, IF(Items!F$6, Curves!F54, 1-Curves!F54), 1)</f>
        <v>4.2289771842033301E-2</v>
      </c>
      <c r="G54">
        <f t="shared" si="0"/>
        <v>5.1911969720261852E-4</v>
      </c>
    </row>
    <row r="55" spans="1:7" x14ac:dyDescent="0.45">
      <c r="A55" s="1">
        <v>-0.70000000000002005</v>
      </c>
      <c r="B55">
        <f>IF(Items!B$5, IF(Items!B$6, Curves!B55, 1-Curves!B55), 1)</f>
        <v>0.11506673204555329</v>
      </c>
      <c r="C55">
        <f>IF(Items!C$5, IF(Items!C$6, Curves!C55, 1-Curves!C55), 1)</f>
        <v>0.41798785983344366</v>
      </c>
      <c r="D55">
        <f>IF(Items!D$5, IF(Items!D$6, Curves!D55, 1-Curves!D55), 1)</f>
        <v>0.29887650299816348</v>
      </c>
      <c r="E55">
        <f>IF(Items!E$5, IF(Items!E$6, Curves!E55, 1-Curves!E55), 1)</f>
        <v>0.76866742176258973</v>
      </c>
      <c r="F55">
        <f>IF(Items!F$5, IF(Items!F$6, Curves!F55, 1-Curves!F55), 1)</f>
        <v>4.7425873177565692E-2</v>
      </c>
      <c r="G55">
        <f t="shared" si="0"/>
        <v>5.240334755675398E-4</v>
      </c>
    </row>
    <row r="56" spans="1:7" x14ac:dyDescent="0.45">
      <c r="A56" s="1">
        <v>-0.60000000000001996</v>
      </c>
      <c r="B56">
        <f>IF(Items!B$5, IF(Items!B$6, Curves!B56, 1-Curves!B56), 1)</f>
        <v>9.8856073178172466E-2</v>
      </c>
      <c r="C56">
        <f>IF(Items!C$5, IF(Items!C$6, Curves!C56, 1-Curves!C56), 1)</f>
        <v>0.40000000000000346</v>
      </c>
      <c r="D56">
        <f>IF(Items!D$5, IF(Items!D$6, Curves!D56, 1-Curves!D56), 1)</f>
        <v>0.3281554149960979</v>
      </c>
      <c r="E56">
        <f>IF(Items!E$5, IF(Items!E$6, Curves!E56, 1-Curves!E56), 1)</f>
        <v>0.76205930145794798</v>
      </c>
      <c r="F56">
        <f>IF(Items!F$5, IF(Items!F$6, Curves!F56, 1-Curves!F56), 1)</f>
        <v>5.3151136398062522E-2</v>
      </c>
      <c r="G56">
        <f t="shared" si="0"/>
        <v>5.2558655166001496E-4</v>
      </c>
    </row>
    <row r="57" spans="1:7" x14ac:dyDescent="0.45">
      <c r="A57" s="1">
        <v>-0.50000000000001998</v>
      </c>
      <c r="B57">
        <f>IF(Items!B$5, IF(Items!B$6, Curves!B57, 1-Curves!B57), 1)</f>
        <v>8.4710565730738319E-2</v>
      </c>
      <c r="C57">
        <f>IF(Items!C$5, IF(Items!C$6, Curves!C57, 1-Curves!C57), 1)</f>
        <v>0.38201214016656349</v>
      </c>
      <c r="D57">
        <f>IF(Items!D$5, IF(Items!D$6, Curves!D57, 1-Curves!D57), 1)</f>
        <v>0.36014544763748979</v>
      </c>
      <c r="E57">
        <f>IF(Items!E$5, IF(Items!E$6, Curves!E57, 1-Curves!E57), 1)</f>
        <v>0.75414065928090668</v>
      </c>
      <c r="F57">
        <f>IF(Items!F$5, IF(Items!F$6, Curves!F57, 1-Curves!F57), 1)</f>
        <v>5.9524365976500147E-2</v>
      </c>
      <c r="G57">
        <f t="shared" si="0"/>
        <v>5.2316636026341506E-4</v>
      </c>
    </row>
    <row r="58" spans="1:7" x14ac:dyDescent="0.45">
      <c r="A58" s="1">
        <v>-0.40000000000002001</v>
      </c>
      <c r="B58">
        <f>IF(Items!B$5, IF(Items!B$6, Curves!B58, 1-Curves!B58), 1)</f>
        <v>7.2426485361520077E-2</v>
      </c>
      <c r="C58">
        <f>IF(Items!C$5, IF(Items!C$6, Curves!C58, 1-Curves!C58), 1)</f>
        <v>0.36409688610113955</v>
      </c>
      <c r="D58">
        <f>IF(Items!D$5, IF(Items!D$6, Curves!D58, 1-Curves!D58), 1)</f>
        <v>0.39465368463900852</v>
      </c>
      <c r="E58">
        <f>IF(Items!E$5, IF(Items!E$6, Curves!E58, 1-Curves!E58), 1)</f>
        <v>0.74468926372532462</v>
      </c>
      <c r="F58">
        <f>IF(Items!F$5, IF(Items!F$6, Curves!F58, 1-Curves!F58), 1)</f>
        <v>6.6608035575089167E-2</v>
      </c>
      <c r="G58">
        <f t="shared" si="0"/>
        <v>5.1621694394189503E-4</v>
      </c>
    </row>
    <row r="59" spans="1:7" x14ac:dyDescent="0.45">
      <c r="A59" s="1">
        <v>-0.30000000000001997</v>
      </c>
      <c r="B59">
        <f>IF(Items!B$5, IF(Items!B$6, Curves!B59, 1-Curves!B59), 1)</f>
        <v>6.1803466263590678E-2</v>
      </c>
      <c r="C59">
        <f>IF(Items!C$5, IF(Items!C$6, Curves!C59, 1-Curves!C59), 1)</f>
        <v>0.34632567602764008</v>
      </c>
      <c r="D59">
        <f>IF(Items!D$5, IF(Items!D$6, Curves!D59, 1-Curves!D59), 1)</f>
        <v>0.43136882403750099</v>
      </c>
      <c r="E59">
        <f>IF(Items!E$5, IF(Items!E$6, Curves!E59, 1-Curves!E59), 1)</f>
        <v>0.73346184280486448</v>
      </c>
      <c r="F59">
        <f>IF(Items!F$5, IF(Items!F$6, Curves!F59, 1-Curves!F59), 1)</f>
        <v>7.4467945166026409E-2</v>
      </c>
      <c r="G59">
        <f t="shared" si="0"/>
        <v>5.0430488381035424E-4</v>
      </c>
    </row>
    <row r="60" spans="1:7" x14ac:dyDescent="0.45">
      <c r="A60" s="1">
        <v>-0.20000000000002</v>
      </c>
      <c r="B60">
        <f>IF(Items!B$5, IF(Items!B$6, Curves!B60, 1-Curves!B60), 1)</f>
        <v>5.2650118435304538E-2</v>
      </c>
      <c r="C60">
        <f>IF(Items!C$5, IF(Items!C$6, Curves!C60, 1-Curves!C60), 1)</f>
        <v>0.3287676527530714</v>
      </c>
      <c r="D60">
        <f>IF(Items!D$5, IF(Items!D$6, Curves!D60, 1-Curves!D60), 1)</f>
        <v>0.46986360934719362</v>
      </c>
      <c r="E60">
        <f>IF(Items!E$5, IF(Items!E$6, Curves!E60, 1-Curves!E60), 1)</f>
        <v>0.72019960870425481</v>
      </c>
      <c r="F60">
        <f>IF(Items!F$5, IF(Items!F$6, Curves!F60, 1-Curves!F60), 1)</f>
        <v>8.3172696493920548E-2</v>
      </c>
      <c r="G60">
        <f t="shared" si="0"/>
        <v>4.8718499826897073E-4</v>
      </c>
    </row>
    <row r="61" spans="1:7" x14ac:dyDescent="0.45">
      <c r="A61" s="1">
        <v>-0.10000000000002</v>
      </c>
      <c r="B61">
        <f>IF(Items!B$5, IF(Items!B$6, Curves!B61, 1-Curves!B61), 1)</f>
        <v>4.4787703049788297E-2</v>
      </c>
      <c r="C61">
        <f>IF(Items!C$5, IF(Items!C$6, Curves!C61, 1-Curves!C61), 1)</f>
        <v>0.31148861284062579</v>
      </c>
      <c r="D61">
        <f>IF(Items!D$5, IF(Items!D$6, Curves!D61, 1-Curves!D61), 1)</f>
        <v>0.50960899686376993</v>
      </c>
      <c r="E61">
        <f>IF(Items!E$5, IF(Items!E$6, Curves!E61, 1-Curves!E61), 1)</f>
        <v>0.70463766238230929</v>
      </c>
      <c r="F61">
        <f>IF(Items!F$5, IF(Items!F$6, Curves!F61, 1-Curves!F61), 1)</f>
        <v>9.2792953117154964E-2</v>
      </c>
      <c r="G61">
        <f t="shared" si="0"/>
        <v>4.6485649131480187E-4</v>
      </c>
    </row>
    <row r="62" spans="1:7" x14ac:dyDescent="0.45">
      <c r="A62" s="1">
        <v>-2.0428103653102899E-14</v>
      </c>
      <c r="B62">
        <f>IF(Items!B$5, IF(Items!B$6, Curves!B62, 1-Curves!B62), 1)</f>
        <v>3.8052247070993528E-2</v>
      </c>
      <c r="C62">
        <f>IF(Items!C$5, IF(Items!C$6, Curves!C62, 1-Curves!C62), 1)</f>
        <v>0.29455006581112197</v>
      </c>
      <c r="D62">
        <f>IF(Items!D$5, IF(Items!D$6, Curves!D62, 1-Curves!D62), 1)</f>
        <v>0.54999999999999172</v>
      </c>
      <c r="E62">
        <f>IF(Items!E$5, IF(Items!E$6, Curves!E62, 1-Curves!E62), 1)</f>
        <v>0.68651914807961378</v>
      </c>
      <c r="F62">
        <f>IF(Items!F$5, IF(Items!F$6, Curves!F62, 1-Curves!F62), 1)</f>
        <v>0.10340045145824731</v>
      </c>
      <c r="G62">
        <f t="shared" si="0"/>
        <v>4.3759989725861555E-4</v>
      </c>
    </row>
    <row r="63" spans="1:7" x14ac:dyDescent="0.45">
      <c r="A63" s="1">
        <v>9.9999999999980105E-2</v>
      </c>
      <c r="B63">
        <f>IF(Items!B$5, IF(Items!B$6, Curves!B63, 1-Curves!B63), 1)</f>
        <v>3.2295464698451681E-2</v>
      </c>
      <c r="C63">
        <f>IF(Items!C$5, IF(Items!C$6, Curves!C63, 1-Curves!C63), 1)</f>
        <v>0.27800843024580768</v>
      </c>
      <c r="D63">
        <f>IF(Items!D$5, IF(Items!D$6, Curves!D63, 1-Curves!D63), 1)</f>
        <v>0.59039100313621407</v>
      </c>
      <c r="E63">
        <f>IF(Items!E$5, IF(Items!E$6, Curves!E63, 1-Curves!E63), 1)</f>
        <v>0.66561470810714396</v>
      </c>
      <c r="F63">
        <f>IF(Items!F$5, IF(Items!F$6, Curves!F63, 1-Curves!F63), 1)</f>
        <v>0.11506673204554736</v>
      </c>
      <c r="G63">
        <f t="shared" si="0"/>
        <v>4.059868092532459E-4</v>
      </c>
    </row>
    <row r="64" spans="1:7" x14ac:dyDescent="0.45">
      <c r="A64" s="1">
        <v>0.19999999999998</v>
      </c>
      <c r="B64">
        <f>IF(Items!B$5, IF(Items!B$6, Curves!B64, 1-Curves!B64), 1)</f>
        <v>2.738481095012657E-2</v>
      </c>
      <c r="C64">
        <f>IF(Items!C$5, IF(Items!C$6, Curves!C64, 1-Curves!C64), 1)</f>
        <v>0.26191438634579467</v>
      </c>
      <c r="D64">
        <f>IF(Items!D$5, IF(Items!D$6, Curves!D64, 1-Curves!D64), 1)</f>
        <v>0.6301363906527907</v>
      </c>
      <c r="E64">
        <f>IF(Items!E$5, IF(Items!E$6, Curves!E64, 1-Curves!E64), 1)</f>
        <v>0.64174711084687042</v>
      </c>
      <c r="F64">
        <f>IF(Items!F$5, IF(Items!F$6, Curves!F64, 1-Curves!F64), 1)</f>
        <v>0.12786156631907866</v>
      </c>
      <c r="G64">
        <f t="shared" si="0"/>
        <v>3.7085795952566963E-4</v>
      </c>
    </row>
    <row r="65" spans="1:7" x14ac:dyDescent="0.45">
      <c r="A65" s="1">
        <v>0.29999999999998</v>
      </c>
      <c r="B65">
        <f>IF(Items!B$5, IF(Items!B$6, Curves!B65, 1-Curves!B65), 1)</f>
        <v>2.320293814564478E-2</v>
      </c>
      <c r="C65">
        <f>IF(Items!C$5, IF(Items!C$6, Curves!C65, 1-Curves!C65), 1)</f>
        <v>0.24631239655857251</v>
      </c>
      <c r="D65">
        <f>IF(Items!D$5, IF(Items!D$6, Curves!D65, 1-Curves!D65), 1)</f>
        <v>0.668631175962484</v>
      </c>
      <c r="E65">
        <f>IF(Items!E$5, IF(Items!E$6, Curves!E65, 1-Curves!E65), 1)</f>
        <v>0.61481982679921976</v>
      </c>
      <c r="F65">
        <f>IF(Items!F$5, IF(Items!F$6, Curves!F65, 1-Curves!F65), 1)</f>
        <v>0.14185106490048488</v>
      </c>
      <c r="G65">
        <f t="shared" si="0"/>
        <v>3.3327009033436161E-4</v>
      </c>
    </row>
    <row r="66" spans="1:7" x14ac:dyDescent="0.45">
      <c r="A66" s="1">
        <v>0.39999999999997998</v>
      </c>
      <c r="B66">
        <f>IF(Items!B$5, IF(Items!B$6, Curves!B66, 1-Curves!B66), 1)</f>
        <v>1.9646769947689324E-2</v>
      </c>
      <c r="C66">
        <f>IF(Items!C$5, IF(Items!C$6, Curves!C66, 1-Curves!C66), 1)</f>
        <v>0.23124039789999973</v>
      </c>
      <c r="D66">
        <f>IF(Items!D$5, IF(Items!D$6, Curves!D66, 1-Curves!D66), 1)</f>
        <v>0.70534631536097725</v>
      </c>
      <c r="E66">
        <f>IF(Items!E$5, IF(Items!E$6, Curves!E66, 1-Curves!E66), 1)</f>
        <v>0.58484686290401022</v>
      </c>
      <c r="F66">
        <f>IF(Items!F$5, IF(Items!F$6, Curves!F66, 1-Curves!F66), 1)</f>
        <v>0.15709546888544954</v>
      </c>
      <c r="G66">
        <f t="shared" si="0"/>
        <v>2.94417142560756E-4</v>
      </c>
    </row>
    <row r="67" spans="1:7" x14ac:dyDescent="0.45">
      <c r="A67" s="1">
        <v>0.49999999999998002</v>
      </c>
      <c r="B67">
        <f>IF(Items!B$5, IF(Items!B$6, Curves!B67, 1-Curves!B67), 1)</f>
        <v>1.6626356107882323E-2</v>
      </c>
      <c r="C67">
        <f>IF(Items!C$5, IF(Items!C$6, Curves!C67, 1-Curves!C67), 1)</f>
        <v>0.21672966212055766</v>
      </c>
      <c r="D67">
        <f>IF(Items!D$5, IF(Items!D$6, Curves!D67, 1-Curves!D67), 1)</f>
        <v>0.73985455236249698</v>
      </c>
      <c r="E67">
        <f>IF(Items!E$5, IF(Items!E$6, Curves!E67, 1-Curves!E67), 1)</f>
        <v>0.55197958490209675</v>
      </c>
      <c r="F67">
        <f>IF(Items!F$5, IF(Items!F$6, Curves!F67, 1-Curves!F67), 1)</f>
        <v>0.17364664701900157</v>
      </c>
      <c r="G67">
        <f t="shared" ref="G67:G122" si="1">PRODUCT(B67:F67)</f>
        <v>2.5553547483868209E-4</v>
      </c>
    </row>
    <row r="68" spans="1:7" x14ac:dyDescent="0.45">
      <c r="A68" s="1">
        <v>0.59999999999997999</v>
      </c>
      <c r="B68">
        <f>IF(Items!B$5, IF(Items!B$6, Curves!B68, 1-Curves!B68), 1)</f>
        <v>1.406362704324593E-2</v>
      </c>
      <c r="C68">
        <f>IF(Items!C$5, IF(Items!C$6, Curves!C68, 1-Curves!C68), 1)</f>
        <v>0.20280481332987299</v>
      </c>
      <c r="D68">
        <f>IF(Items!D$5, IF(Items!D$6, Curves!D68, 1-Curves!D68), 1)</f>
        <v>0.77184458500388986</v>
      </c>
      <c r="E68">
        <f>IF(Items!E$5, IF(Items!E$6, Curves!E68, 1-Curves!E68), 1)</f>
        <v>0.51652504498064367</v>
      </c>
      <c r="F68">
        <f>IF(Items!F$5, IF(Items!F$6, Curves!F68, 1-Curves!F68), 1)</f>
        <v>0.19154534856146377</v>
      </c>
      <c r="G68">
        <f t="shared" si="1"/>
        <v>2.1780530573431935E-4</v>
      </c>
    </row>
    <row r="69" spans="1:7" x14ac:dyDescent="0.45">
      <c r="A69" s="1">
        <v>0.69999999999997997</v>
      </c>
      <c r="B69">
        <f>IF(Items!B$5, IF(Items!B$6, Curves!B69, 1-Curves!B69), 1)</f>
        <v>1.1891131644387376E-2</v>
      </c>
      <c r="C69">
        <f>IF(Items!C$5, IF(Items!C$6, Curves!C69, 1-Curves!C69), 1)</f>
        <v>0.18948398741851813</v>
      </c>
      <c r="D69">
        <f>IF(Items!D$5, IF(Items!D$6, Curves!D69, 1-Curves!D69), 1)</f>
        <v>0.8011234970018255</v>
      </c>
      <c r="E69">
        <f>IF(Items!E$5, IF(Items!E$6, Curves!E69, 1-Curves!E69), 1)</f>
        <v>0.47895012808996928</v>
      </c>
      <c r="F69">
        <f>IF(Items!F$5, IF(Items!F$6, Curves!F69, 1-Curves!F69), 1)</f>
        <v>0.21081829347774311</v>
      </c>
      <c r="G69">
        <f t="shared" si="1"/>
        <v>1.8226100448039343E-4</v>
      </c>
    </row>
    <row r="70" spans="1:7" x14ac:dyDescent="0.45">
      <c r="A70" s="1">
        <v>0.79999999999997995</v>
      </c>
      <c r="B70">
        <f>IF(Items!B$5, IF(Items!B$6, Curves!B70, 1-Curves!B70), 1)</f>
        <v>1.0050813883474063E-2</v>
      </c>
      <c r="C70">
        <f>IF(Items!C$5, IF(Items!C$6, Curves!C70, 1-Curves!C70), 1)</f>
        <v>0.17677911377615274</v>
      </c>
      <c r="D70">
        <f>IF(Items!D$5, IF(Items!D$6, Curves!D70, 1-Curves!D70), 1)</f>
        <v>0.82760918629467417</v>
      </c>
      <c r="E70">
        <f>IF(Items!E$5, IF(Items!E$6, Curves!E70, 1-Curves!E70), 1)</f>
        <v>0.43986719784999018</v>
      </c>
      <c r="F70">
        <f>IF(Items!F$5, IF(Items!F$6, Curves!F70, 1-Curves!F70), 1)</f>
        <v>0.23147521650097808</v>
      </c>
      <c r="G70">
        <f t="shared" si="1"/>
        <v>1.4972129041376819E-4</v>
      </c>
    </row>
    <row r="71" spans="1:7" x14ac:dyDescent="0.45">
      <c r="A71" s="1">
        <v>0.89999999999998004</v>
      </c>
      <c r="B71">
        <f>IF(Items!B$5, IF(Items!B$6, Curves!B71, 1-Curves!B71), 1)</f>
        <v>8.4928628516446336E-3</v>
      </c>
      <c r="C71">
        <f>IF(Items!C$5, IF(Items!C$6, Curves!C71, 1-Curves!C71), 1)</f>
        <v>0.1646962974407602</v>
      </c>
      <c r="D71">
        <f>IF(Items!D$5, IF(Items!D$6, Curves!D71, 1-Curves!D71), 1)</f>
        <v>0.85131561682844237</v>
      </c>
      <c r="E71">
        <f>IF(Items!E$5, IF(Items!E$6, Curves!E71, 1-Curves!E71), 1)</f>
        <v>0.4000000000000079</v>
      </c>
      <c r="F71">
        <f>IF(Items!F$5, IF(Items!F$6, Curves!F71, 1-Curves!F71), 1)</f>
        <v>0.2535060166623333</v>
      </c>
      <c r="G71">
        <f t="shared" si="1"/>
        <v>1.2074712796201017E-4</v>
      </c>
    </row>
    <row r="72" spans="1:7" x14ac:dyDescent="0.45">
      <c r="A72" s="1">
        <v>0.99999999999998002</v>
      </c>
      <c r="B72">
        <f>IF(Items!B$5, IF(Items!B$6, Curves!B72, 1-Curves!B72), 1)</f>
        <v>7.1746556090750424E-3</v>
      </c>
      <c r="C72">
        <f>IF(Items!C$5, IF(Items!C$6, Curves!C72, 1-Curves!C72), 1)</f>
        <v>0.15323627884917612</v>
      </c>
      <c r="D72">
        <f>IF(Items!D$5, IF(Items!D$6, Curves!D72, 1-Curves!D72), 1)</f>
        <v>0.87233404158955707</v>
      </c>
      <c r="E72">
        <f>IF(Items!E$5, IF(Items!E$6, Curves!E72, 1-Curves!E72), 1)</f>
        <v>0.36013280215002563</v>
      </c>
      <c r="F72">
        <f>IF(Items!F$5, IF(Items!F$6, Curves!F72, 1-Curves!F72), 1)</f>
        <v>0.27687819487560539</v>
      </c>
      <c r="G72">
        <f t="shared" si="1"/>
        <v>9.5630606934680998E-5</v>
      </c>
    </row>
    <row r="73" spans="1:7" x14ac:dyDescent="0.45">
      <c r="A73" s="1">
        <v>1.0999999999999801</v>
      </c>
      <c r="B73">
        <f>IF(Items!B$5, IF(Items!B$6, Curves!B73, 1-Curves!B73), 1)</f>
        <v>6.0598014915844711E-3</v>
      </c>
      <c r="C73">
        <f>IF(Items!C$5, IF(Items!C$6, Curves!C73, 1-Curves!C73), 1)</f>
        <v>0.14239494862899926</v>
      </c>
      <c r="D73">
        <f>IF(Items!D$5, IF(Items!D$6, Curves!D73, 1-Curves!D73), 1)</f>
        <v>0.89081304589743338</v>
      </c>
      <c r="E73">
        <f>IF(Items!E$5, IF(Items!E$6, Curves!E73, 1-Curves!E73), 1)</f>
        <v>0.32104987191004608</v>
      </c>
      <c r="F73">
        <f>IF(Items!F$5, IF(Items!F$6, Curves!F73, 1-Curves!F73), 1)</f>
        <v>0.3015347839974562</v>
      </c>
      <c r="G73">
        <f t="shared" si="1"/>
        <v>7.4413112209450723E-5</v>
      </c>
    </row>
    <row r="74" spans="1:7" x14ac:dyDescent="0.45">
      <c r="A74" s="1">
        <v>1.19999999999998</v>
      </c>
      <c r="B74">
        <f>IF(Items!B$5, IF(Items!B$6, Curves!B74, 1-Curves!B74), 1)</f>
        <v>5.1172892300416217E-3</v>
      </c>
      <c r="C74">
        <f>IF(Items!C$5, IF(Items!C$6, Curves!C74, 1-Curves!C74), 1)</f>
        <v>0.13216389615249358</v>
      </c>
      <c r="D74">
        <f>IF(Items!D$5, IF(Items!D$6, Curves!D74, 1-Curves!D74), 1)</f>
        <v>0.90693959368757249</v>
      </c>
      <c r="E74">
        <f>IF(Items!E$5, IF(Items!E$6, Curves!E74, 1-Curves!E74), 1)</f>
        <v>0.28347495501937092</v>
      </c>
      <c r="F74">
        <f>IF(Items!F$5, IF(Items!F$6, Curves!F74, 1-Curves!F74), 1)</f>
        <v>0.32739298293223423</v>
      </c>
      <c r="G74">
        <f t="shared" si="1"/>
        <v>5.6926596743547998E-5</v>
      </c>
    </row>
    <row r="75" spans="1:7" x14ac:dyDescent="0.45">
      <c r="A75" s="1">
        <v>1.2999999999999801</v>
      </c>
      <c r="B75">
        <f>IF(Items!B$5, IF(Items!B$6, Curves!B75, 1-Curves!B75), 1)</f>
        <v>4.3207335199121344E-3</v>
      </c>
      <c r="C75">
        <f>IF(Items!C$5, IF(Items!C$6, Curves!C75, 1-Curves!C75), 1)</f>
        <v>0.12253097261207069</v>
      </c>
      <c r="D75">
        <f>IF(Items!D$5, IF(Items!D$6, Curves!D75, 1-Curves!D75), 1)</f>
        <v>0.92092247665362625</v>
      </c>
      <c r="E75">
        <f>IF(Items!E$5, IF(Items!E$6, Curves!E75, 1-Curves!E75), 1)</f>
        <v>0.24802041509791684</v>
      </c>
      <c r="F75">
        <f>IF(Items!F$5, IF(Items!F$6, Curves!F75, 1-Curves!F75), 1)</f>
        <v>0.35434369377419905</v>
      </c>
      <c r="G75">
        <f t="shared" si="1"/>
        <v>4.2848791120801492E-5</v>
      </c>
    </row>
    <row r="76" spans="1:7" x14ac:dyDescent="0.45">
      <c r="A76" s="1">
        <v>1.3999999999999799</v>
      </c>
      <c r="B76">
        <f>IF(Items!B$5, IF(Items!B$6, Curves!B76, 1-Curves!B76), 1)</f>
        <v>3.6477148207749721E-3</v>
      </c>
      <c r="C76">
        <f>IF(Items!C$5, IF(Items!C$6, Curves!C76, 1-Curves!C76), 1)</f>
        <v>0.11348085192039203</v>
      </c>
      <c r="D76">
        <f>IF(Items!D$5, IF(Items!D$6, Curves!D76, 1-Curves!D76), 1)</f>
        <v>0.93297884935057251</v>
      </c>
      <c r="E76">
        <f>IF(Items!E$5, IF(Items!E$6, Curves!E76, 1-Curves!E76), 1)</f>
        <v>0.21515313709600226</v>
      </c>
      <c r="F76">
        <f>IF(Items!F$5, IF(Items!F$6, Curves!F76, 1-Curves!F76), 1)</f>
        <v>0.38225212523074531</v>
      </c>
      <c r="G76">
        <f t="shared" si="1"/>
        <v>3.1762366673882187E-5</v>
      </c>
    </row>
    <row r="77" spans="1:7" x14ac:dyDescent="0.45">
      <c r="A77" s="1">
        <v>1.49999999999998</v>
      </c>
      <c r="B77">
        <f>IF(Items!B$5, IF(Items!B$6, Curves!B77, 1-Curves!B77), 1)</f>
        <v>3.0792046214773716E-3</v>
      </c>
      <c r="C77">
        <f>IF(Items!C$5, IF(Items!C$6, Curves!C77, 1-Curves!C77), 1)</f>
        <v>0.10499557555082029</v>
      </c>
      <c r="D77">
        <f>IF(Items!D$5, IF(Items!D$6, Curves!D77, 1-Curves!D77), 1)</f>
        <v>0.94332397954870129</v>
      </c>
      <c r="E77">
        <f>IF(Items!E$5, IF(Items!E$6, Curves!E77, 1-Curves!E77), 1)</f>
        <v>0.18518017320079161</v>
      </c>
      <c r="F77">
        <f>IF(Items!F$5, IF(Items!F$6, Curves!F77, 1-Curves!F77), 1)</f>
        <v>0.41095956594132904</v>
      </c>
      <c r="G77">
        <f t="shared" si="1"/>
        <v>2.3209404782784342E-5</v>
      </c>
    </row>
    <row r="78" spans="1:7" x14ac:dyDescent="0.45">
      <c r="A78" s="1">
        <v>1.5999999999999801</v>
      </c>
      <c r="B78">
        <f>IF(Items!B$5, IF(Items!B$6, Curves!B78, 1-Curves!B78), 1)</f>
        <v>2.5990677623234371E-3</v>
      </c>
      <c r="C78">
        <f>IF(Items!C$5, IF(Items!C$6, Curves!C78, 1-Curves!C78), 1)</f>
        <v>9.7055070313390779E-2</v>
      </c>
      <c r="D78">
        <f>IF(Items!D$5, IF(Items!D$6, Curves!D78, 1-Curves!D78), 1)</f>
        <v>0.95216397724174096</v>
      </c>
      <c r="E78">
        <f>IF(Items!E$5, IF(Items!E$6, Curves!E78, 1-Curves!E78), 1)</f>
        <v>0.15825288915313962</v>
      </c>
      <c r="F78">
        <f>IF(Items!F$5, IF(Items!F$6, Curves!F78, 1-Curves!F78), 1)</f>
        <v>0.44028635073280109</v>
      </c>
      <c r="G78">
        <f t="shared" si="1"/>
        <v>1.6735336440943313E-5</v>
      </c>
    </row>
    <row r="79" spans="1:7" x14ac:dyDescent="0.45">
      <c r="A79" s="1">
        <v>1.69999999999998</v>
      </c>
      <c r="B79">
        <f>IF(Items!B$5, IF(Items!B$6, Curves!B79, 1-Curves!B79), 1)</f>
        <v>2.1936333567087463E-3</v>
      </c>
      <c r="C79">
        <f>IF(Items!C$5, IF(Items!C$6, Curves!C79, 1-Curves!C79), 1)</f>
        <v>8.963763084559373E-2</v>
      </c>
      <c r="D79">
        <f>IF(Items!D$5, IF(Items!D$6, Curves!D79, 1-Curves!D79), 1)</f>
        <v>0.9596910672551906</v>
      </c>
      <c r="E79">
        <f>IF(Items!E$5, IF(Items!E$6, Curves!E79, 1-Curves!E79), 1)</f>
        <v>0.13438529189286474</v>
      </c>
      <c r="F79">
        <f>IF(Items!F$5, IF(Items!F$6, Curves!F79, 1-Curves!F79), 1)</f>
        <v>0.47003594823542227</v>
      </c>
      <c r="G79">
        <f t="shared" si="1"/>
        <v>1.1919791977860138E-5</v>
      </c>
    </row>
    <row r="80" spans="1:7" x14ac:dyDescent="0.45">
      <c r="A80" s="1">
        <v>1.7999999999999801</v>
      </c>
      <c r="B80">
        <f>IF(Items!B$5, IF(Items!B$6, Curves!B80, 1-Curves!B80), 1)</f>
        <v>1.8513261812059811E-3</v>
      </c>
      <c r="C80">
        <f>IF(Items!C$5, IF(Items!C$6, Curves!C80, 1-Curves!C80), 1)</f>
        <v>8.2720361166600975E-2</v>
      </c>
      <c r="D80">
        <f>IF(Items!D$5, IF(Items!D$6, Curves!D80, 1-Curves!D80), 1)</f>
        <v>0.96608089854225343</v>
      </c>
      <c r="E80">
        <f>IF(Items!E$5, IF(Items!E$6, Curves!E80, 1-Curves!E80), 1)</f>
        <v>0.11348085192039403</v>
      </c>
      <c r="F80">
        <f>IF(Items!F$5, IF(Items!F$6, Curves!F80, 1-Curves!F80), 1)</f>
        <v>0.499999999999994</v>
      </c>
      <c r="G80">
        <f t="shared" si="1"/>
        <v>8.3946279297585926E-6</v>
      </c>
    </row>
    <row r="81" spans="1:7" x14ac:dyDescent="0.45">
      <c r="A81" s="1">
        <v>1.8999999999999799</v>
      </c>
      <c r="B81">
        <f>IF(Items!B$5, IF(Items!B$6, Curves!B81, 1-Curves!B81), 1)</f>
        <v>1.5623509503289723E-3</v>
      </c>
      <c r="C81">
        <f>IF(Items!C$5, IF(Items!C$6, Curves!C81, 1-Curves!C81), 1)</f>
        <v>7.6279571919288802E-2</v>
      </c>
      <c r="D81">
        <f>IF(Items!D$5, IF(Items!D$6, Curves!D81, 1-Curves!D81), 1)</f>
        <v>0.97149139445884813</v>
      </c>
      <c r="E81">
        <f>IF(Items!E$5, IF(Items!E$6, Curves!E81, 1-Curves!E81), 1)</f>
        <v>9.5362337617697301E-2</v>
      </c>
      <c r="F81">
        <f>IF(Items!F$5, IF(Items!F$6, Curves!F81, 1-Curves!F81), 1)</f>
        <v>0.52996405176456574</v>
      </c>
      <c r="G81">
        <f t="shared" si="1"/>
        <v>5.8512560224448779E-6</v>
      </c>
    </row>
    <row r="82" spans="1:7" x14ac:dyDescent="0.45">
      <c r="A82" s="1">
        <v>1.99999999999998</v>
      </c>
      <c r="B82">
        <f>IF(Items!B$5, IF(Items!B$6, Curves!B82, 1-Curves!B82), 1)</f>
        <v>1.3184225532338889E-3</v>
      </c>
      <c r="C82">
        <f>IF(Items!C$5, IF(Items!C$6, Curves!C82, 1-Curves!C82), 1)</f>
        <v>7.0291131863442047E-2</v>
      </c>
      <c r="D82">
        <f>IF(Items!D$5, IF(Items!D$6, Curves!D82, 1-Curves!D82), 1)</f>
        <v>0.97606270578081988</v>
      </c>
      <c r="E82">
        <f>IF(Items!E$5, IF(Items!E$6, Curves!E82, 1-Curves!E82), 1)</f>
        <v>7.9800391295751005E-2</v>
      </c>
      <c r="F82">
        <f>IF(Items!F$5, IF(Items!F$6, Curves!F82, 1-Curves!F82), 1)</f>
        <v>0.55971364926718703</v>
      </c>
      <c r="G82">
        <f t="shared" si="1"/>
        <v>4.0402086866635938E-6</v>
      </c>
    </row>
    <row r="83" spans="1:7" x14ac:dyDescent="0.45">
      <c r="A83" s="1">
        <v>2.0999999999999699</v>
      </c>
      <c r="B83">
        <f>IF(Items!B$5, IF(Items!B$6, Curves!B83, 1-Curves!B83), 1)</f>
        <v>1.1125360328604339E-3</v>
      </c>
      <c r="C83">
        <f>IF(Items!C$5, IF(Items!C$6, Curves!C83, 1-Curves!C83), 1)</f>
        <v>6.4730773772373684E-2</v>
      </c>
      <c r="D83">
        <f>IF(Items!D$5, IF(Items!D$6, Curves!D83, 1-Curves!D83), 1)</f>
        <v>0.97991790517086996</v>
      </c>
      <c r="E83">
        <f>IF(Items!E$5, IF(Items!E$6, Curves!E83, 1-Curves!E83), 1)</f>
        <v>6.6538157195141556E-2</v>
      </c>
      <c r="F83">
        <f>IF(Items!F$5, IF(Items!F$6, Curves!F83, 1-Curves!F83), 1)</f>
        <v>0.58904043405865636</v>
      </c>
      <c r="G83">
        <f t="shared" si="1"/>
        <v>2.7658616568563366E-6</v>
      </c>
    </row>
    <row r="84" spans="1:7" x14ac:dyDescent="0.45">
      <c r="A84" s="1">
        <v>2.19999999999997</v>
      </c>
      <c r="B84">
        <f>IF(Items!B$5, IF(Items!B$6, Curves!B84, 1-Curves!B84), 1)</f>
        <v>9.3877078713799911E-4</v>
      </c>
      <c r="C84">
        <f>IF(Items!C$5, IF(Items!C$6, Curves!C84, 1-Curves!C84), 1)</f>
        <v>5.9574356132823914E-2</v>
      </c>
      <c r="D84">
        <f>IF(Items!D$5, IF(Items!D$6, Curves!D84, 1-Curves!D84), 1)</f>
        <v>0.98316414104107996</v>
      </c>
      <c r="E84">
        <f>IF(Items!E$5, IF(Items!E$6, Curves!E84, 1-Curves!E84), 1)</f>
        <v>5.5310736274680528E-2</v>
      </c>
      <c r="F84">
        <f>IF(Items!F$5, IF(Items!F$6, Curves!F84, 1-Curves!F84), 1)</f>
        <v>0.61774787476924042</v>
      </c>
      <c r="G84">
        <f t="shared" si="1"/>
        <v>1.8787355518760212E-6</v>
      </c>
    </row>
    <row r="85" spans="1:7" x14ac:dyDescent="0.45">
      <c r="A85" s="1">
        <v>2.2999999999999701</v>
      </c>
      <c r="B85">
        <f>IF(Items!B$5, IF(Items!B$6, Curves!B85, 1-Curves!B85), 1)</f>
        <v>7.9212413839524487E-4</v>
      </c>
      <c r="C85">
        <f>IF(Items!C$5, IF(Items!C$6, Curves!C85, 1-Curves!C85), 1)</f>
        <v>5.4798082979462093E-2</v>
      </c>
      <c r="D85">
        <f>IF(Items!D$5, IF(Items!D$6, Curves!D85, 1-Curves!D85), 1)</f>
        <v>0.98589404074055564</v>
      </c>
      <c r="E85">
        <f>IF(Items!E$5, IF(Items!E$6, Curves!E85, 1-Curves!E85), 1)</f>
        <v>4.5859340719097474E-2</v>
      </c>
      <c r="F85">
        <f>IF(Items!F$5, IF(Items!F$6, Curves!F85, 1-Curves!F85), 1)</f>
        <v>0.64565630622578729</v>
      </c>
      <c r="G85">
        <f t="shared" si="1"/>
        <v>1.2671209140970735E-6</v>
      </c>
    </row>
    <row r="86" spans="1:7" x14ac:dyDescent="0.45">
      <c r="A86" s="1">
        <v>2.3999999999999702</v>
      </c>
      <c r="B86">
        <f>IF(Items!B$5, IF(Items!B$6, Curves!B86, 1-Curves!B86), 1)</f>
        <v>6.6837003479547352E-4</v>
      </c>
      <c r="C86">
        <f>IF(Items!C$5, IF(Items!C$6, Curves!C86, 1-Curves!C86), 1)</f>
        <v>5.0378684845598265E-2</v>
      </c>
      <c r="D86">
        <f>IF(Items!D$5, IF(Items!D$6, Curves!D86, 1-Curves!D86), 1)</f>
        <v>0.98818721349660688</v>
      </c>
      <c r="E86">
        <f>IF(Items!E$5, IF(Items!E$6, Curves!E86, 1-Curves!E86), 1)</f>
        <v>3.7940698542055618E-2</v>
      </c>
      <c r="F86">
        <f>IF(Items!F$5, IF(Items!F$6, Curves!F86, 1-Curves!F86), 1)</f>
        <v>0.67260701706775261</v>
      </c>
      <c r="G86">
        <f t="shared" si="1"/>
        <v>8.4912131577563006E-7</v>
      </c>
    </row>
    <row r="87" spans="1:7" x14ac:dyDescent="0.45">
      <c r="A87" s="1">
        <v>2.4999999999999698</v>
      </c>
      <c r="B87">
        <f>IF(Items!B$5, IF(Items!B$6, Curves!B87, 1-Curves!B87), 1)</f>
        <v>5.6393920869224345E-4</v>
      </c>
      <c r="C87">
        <f>IF(Items!C$5, IF(Items!C$6, Curves!C87, 1-Curves!C87), 1)</f>
        <v>4.6293564221089989E-2</v>
      </c>
      <c r="D87">
        <f>IF(Items!D$5, IF(Items!D$6, Curves!D87, 1-Curves!D87), 1)</f>
        <v>0.99011175163246556</v>
      </c>
      <c r="E87">
        <f>IF(Items!E$5, IF(Items!E$6, Curves!E87, 1-Curves!E87), 1)</f>
        <v>3.13325782374132E-2</v>
      </c>
      <c r="F87">
        <f>IF(Items!F$5, IF(Items!F$6, Curves!F87, 1-Curves!F87), 1)</f>
        <v>0.69846521600253109</v>
      </c>
      <c r="G87">
        <f t="shared" si="1"/>
        <v>5.6568939952344182E-7</v>
      </c>
    </row>
    <row r="88" spans="1:7" x14ac:dyDescent="0.45">
      <c r="A88" s="1">
        <v>2.5999999999999699</v>
      </c>
      <c r="B88">
        <f>IF(Items!B$5, IF(Items!B$6, Curves!B88, 1-Curves!B88), 1)</f>
        <v>4.7581761883841445E-4</v>
      </c>
      <c r="C88">
        <f>IF(Items!C$5, IF(Items!C$6, Curves!C88, 1-Curves!C88), 1)</f>
        <v>4.2520909118451966E-2</v>
      </c>
      <c r="D88">
        <f>IF(Items!D$5, IF(Items!D$6, Curves!D88, 1-Curves!D88), 1)</f>
        <v>0.99172566516944016</v>
      </c>
      <c r="E88">
        <f>IF(Items!E$5, IF(Items!E$6, Curves!E88, 1-Curves!E88), 1)</f>
        <v>2.5836371758761967E-2</v>
      </c>
      <c r="F88">
        <f>IF(Items!F$5, IF(Items!F$6, Curves!F88, 1-Curves!F88), 1)</f>
        <v>0.72312180512438251</v>
      </c>
      <c r="G88">
        <f t="shared" si="1"/>
        <v>3.7486733244488947E-7</v>
      </c>
    </row>
    <row r="89" spans="1:7" x14ac:dyDescent="0.45">
      <c r="A89" s="1">
        <v>2.69999999999997</v>
      </c>
      <c r="B89">
        <f>IF(Items!B$5, IF(Items!B$6, Curves!B89, 1-Curves!B89), 1)</f>
        <v>4.0146044758282429E-4</v>
      </c>
      <c r="C89">
        <f>IF(Items!C$5, IF(Items!C$6, Curves!C89, 1-Curves!C89), 1)</f>
        <v>3.9039778399040825E-2</v>
      </c>
      <c r="D89">
        <f>IF(Items!D$5, IF(Items!D$6, Curves!D89, 1-Curves!D89), 1)</f>
        <v>0.99307821170664212</v>
      </c>
      <c r="E89">
        <f>IF(Items!E$5, IF(Items!E$6, Curves!E89, 1-Curves!E89), 1)</f>
        <v>2.1277594861493832E-2</v>
      </c>
      <c r="F89">
        <f>IF(Items!F$5, IF(Items!F$6, Curves!F89, 1-Curves!F89), 1)</f>
        <v>0.74649398333765538</v>
      </c>
      <c r="G89">
        <f t="shared" si="1"/>
        <v>2.4721932077573679E-7</v>
      </c>
    </row>
    <row r="90" spans="1:7" x14ac:dyDescent="0.45">
      <c r="A90" s="1">
        <v>2.7999999999999701</v>
      </c>
      <c r="B90">
        <f>IF(Items!B$5, IF(Items!B$6, Curves!B90, 1-Curves!B90), 1)</f>
        <v>3.387193137152078E-4</v>
      </c>
      <c r="C90">
        <f>IF(Items!C$5, IF(Items!C$6, Curves!C90, 1-Curves!C90), 1)</f>
        <v>3.5830162439830282E-2</v>
      </c>
      <c r="D90">
        <f>IF(Items!D$5, IF(Items!D$6, Curves!D90, 1-Curves!D90), 1)</f>
        <v>0.99421110237977295</v>
      </c>
      <c r="E90">
        <f>IF(Items!E$5, IF(Items!E$6, Curves!E90, 1-Curves!E90), 1)</f>
        <v>1.7505016748905478E-2</v>
      </c>
      <c r="F90">
        <f>IF(Items!F$5, IF(Items!F$6, Curves!F90, 1-Curves!F90), 1)</f>
        <v>0.76852478349901132</v>
      </c>
      <c r="G90">
        <f t="shared" si="1"/>
        <v>1.623258756594923E-7</v>
      </c>
    </row>
    <row r="91" spans="1:7" x14ac:dyDescent="0.45">
      <c r="A91" s="1">
        <v>2.8999999999999702</v>
      </c>
      <c r="B91">
        <f>IF(Items!B$5, IF(Items!B$6, Curves!B91, 1-Curves!B91), 1)</f>
        <v>2.8578070084195328E-4</v>
      </c>
      <c r="C91">
        <f>IF(Items!C$5, IF(Items!C$6, Curves!C91, 1-Curves!C91), 1)</f>
        <v>3.2873022560372833E-2</v>
      </c>
      <c r="D91">
        <f>IF(Items!D$5, IF(Items!D$6, Curves!D91, 1-Curves!D91), 1)</f>
        <v>0.99515957754353612</v>
      </c>
      <c r="E91">
        <f>IF(Items!E$5, IF(Items!E$6, Curves!E91, 1-Curves!E91), 1)</f>
        <v>1.4388967969674038E-2</v>
      </c>
      <c r="F91">
        <f>IF(Items!F$5, IF(Items!F$6, Curves!F91, 1-Curves!F91), 1)</f>
        <v>0.78918170652224684</v>
      </c>
      <c r="G91">
        <f t="shared" si="1"/>
        <v>1.0616269071025674E-7</v>
      </c>
    </row>
    <row r="92" spans="1:7" x14ac:dyDescent="0.45">
      <c r="A92" s="1">
        <v>2.9999999999999698</v>
      </c>
      <c r="B92">
        <f>IF(Items!B$5, IF(Items!B$6, Curves!B92, 1-Curves!B92), 1)</f>
        <v>2.4111389494740898E-4</v>
      </c>
      <c r="C92">
        <f>IF(Items!C$5, IF(Items!C$6, Curves!C92, 1-Curves!C92), 1)</f>
        <v>3.0150312406885371E-2</v>
      </c>
      <c r="D92">
        <f>IF(Items!D$5, IF(Items!D$6, Curves!D92, 1-Curves!D92), 1)</f>
        <v>0.99595335415515274</v>
      </c>
      <c r="E92">
        <f>IF(Items!E$5, IF(Items!E$6, Curves!E92, 1-Curves!E92), 1)</f>
        <v>1.181922535461899E-2</v>
      </c>
      <c r="F92">
        <f>IF(Items!F$5, IF(Items!F$6, Curves!F92, 1-Curves!F92), 1)</f>
        <v>0.80845465143852691</v>
      </c>
      <c r="G92">
        <f t="shared" si="1"/>
        <v>6.918273566766346E-8</v>
      </c>
    </row>
    <row r="93" spans="1:7" x14ac:dyDescent="0.45">
      <c r="A93" s="1">
        <v>3.0999999999999699</v>
      </c>
      <c r="B93">
        <f>IF(Items!B$5, IF(Items!B$6, Curves!B93, 1-Curves!B93), 1)</f>
        <v>2.0342697805519894E-4</v>
      </c>
      <c r="C93">
        <f>IF(Items!C$5, IF(Items!C$6, Curves!C93, 1-Curves!C93), 1)</f>
        <v>2.7644984229021841E-2</v>
      </c>
      <c r="D93">
        <f>IF(Items!D$5, IF(Items!D$6, Curves!D93, 1-Curves!D93), 1)</f>
        <v>0.99661745191734918</v>
      </c>
      <c r="E93">
        <f>IF(Items!E$5, IF(Items!E$6, Curves!E93, 1-Curves!E93), 1)</f>
        <v>9.7027479874198796E-3</v>
      </c>
      <c r="F93">
        <f>IF(Items!F$5, IF(Items!F$6, Curves!F93, 1-Curves!F93), 1)</f>
        <v>0.82635335298098977</v>
      </c>
      <c r="G93">
        <f t="shared" si="1"/>
        <v>4.4938019369996298E-8</v>
      </c>
    </row>
    <row r="94" spans="1:7" x14ac:dyDescent="0.45">
      <c r="A94" s="1">
        <v>3.19999999999997</v>
      </c>
      <c r="B94">
        <f>IF(Items!B$5, IF(Items!B$6, Curves!B94, 1-Curves!B94), 1)</f>
        <v>1.7162964243377932E-4</v>
      </c>
      <c r="C94">
        <f>IF(Items!C$5, IF(Items!C$6, Curves!C94, 1-Curves!C94), 1)</f>
        <v>2.5340982703245585E-2</v>
      </c>
      <c r="D94">
        <f>IF(Items!D$5, IF(Items!D$6, Curves!D94, 1-Curves!D94), 1)</f>
        <v>0.99717290804365333</v>
      </c>
      <c r="E94">
        <f>IF(Items!E$5, IF(Items!E$6, Curves!E94, 1-Curves!E94), 1)</f>
        <v>7.9614414935238464E-3</v>
      </c>
      <c r="F94">
        <f>IF(Items!F$5, IF(Items!F$6, Curves!F94, 1-Curves!F94), 1)</f>
        <v>0.84290453111454244</v>
      </c>
      <c r="G94">
        <f t="shared" si="1"/>
        <v>2.9104243636496597E-8</v>
      </c>
    </row>
    <row r="95" spans="1:7" x14ac:dyDescent="0.45">
      <c r="A95" s="1">
        <v>3.2999999999999701</v>
      </c>
      <c r="B95">
        <f>IF(Items!B$5, IF(Items!B$6, Curves!B95, 1-Curves!B95), 1)</f>
        <v>1.4480177609177414E-4</v>
      </c>
      <c r="C95">
        <f>IF(Items!C$5, IF(Items!C$6, Curves!C95, 1-Curves!C95), 1)</f>
        <v>2.3223228669073226E-2</v>
      </c>
      <c r="D95">
        <f>IF(Items!D$5, IF(Items!D$6, Curves!D95, 1-Curves!D95), 1)</f>
        <v>0.99763739176900568</v>
      </c>
      <c r="E95">
        <f>IF(Items!E$5, IF(Items!E$6, Curves!E95, 1-Curves!E95), 1)</f>
        <v>6.5300569225281713E-3</v>
      </c>
      <c r="F95">
        <f>IF(Items!F$5, IF(Items!F$6, Curves!F95, 1-Curves!F95), 1)</f>
        <v>0.85814893509950785</v>
      </c>
      <c r="G95">
        <f t="shared" si="1"/>
        <v>1.8799610028153867E-8</v>
      </c>
    </row>
    <row r="96" spans="1:7" x14ac:dyDescent="0.45">
      <c r="A96" s="1">
        <v>3.3999999999999702</v>
      </c>
      <c r="B96">
        <f>IF(Items!B$5, IF(Items!B$6, Curves!B96, 1-Curves!B96), 1)</f>
        <v>1.2216692943689544E-4</v>
      </c>
      <c r="C96">
        <f>IF(Items!C$5, IF(Items!C$6, Curves!C96, 1-Curves!C96), 1)</f>
        <v>2.1277594861493165E-2</v>
      </c>
      <c r="D96">
        <f>IF(Items!D$5, IF(Items!D$6, Curves!D96, 1-Curves!D96), 1)</f>
        <v>0.99802572997896211</v>
      </c>
      <c r="E96">
        <f>IF(Items!E$5, IF(Items!E$6, Curves!E96, 1-Curves!E96), 1)</f>
        <v>5.3542807394280079E-3</v>
      </c>
      <c r="F96">
        <f>IF(Items!F$5, IF(Items!F$6, Curves!F96, 1-Curves!F96), 1)</f>
        <v>0.8721384336809147</v>
      </c>
      <c r="G96">
        <f t="shared" si="1"/>
        <v>1.2114472151828652E-8</v>
      </c>
    </row>
    <row r="97" spans="1:7" x14ac:dyDescent="0.45">
      <c r="A97" s="1">
        <v>3.4999999999999698</v>
      </c>
      <c r="B97">
        <f>IF(Items!B$5, IF(Items!B$6, Curves!B97, 1-Curves!B97), 1)</f>
        <v>1.0306990864850096E-4</v>
      </c>
      <c r="C97">
        <f>IF(Items!C$5, IF(Items!C$6, Curves!C97, 1-Curves!C97), 1)</f>
        <v>1.9490875452222722E-2</v>
      </c>
      <c r="D97">
        <f>IF(Items!D$5, IF(Items!D$6, Curves!D97, 1-Curves!D97), 1)</f>
        <v>0.9983503549517565</v>
      </c>
      <c r="E97">
        <f>IF(Items!E$5, IF(Items!E$6, Curves!E97, 1-Curves!E97), 1)</f>
        <v>4.3890391195604561E-3</v>
      </c>
      <c r="F97">
        <f>IF(Items!F$5, IF(Items!F$6, Curves!F97, 1-Curves!F97), 1)</f>
        <v>0.88493326795444649</v>
      </c>
      <c r="G97">
        <f t="shared" si="1"/>
        <v>7.789797857562937E-9</v>
      </c>
    </row>
    <row r="98" spans="1:7" x14ac:dyDescent="0.45">
      <c r="A98" s="1">
        <v>3.5999999999999699</v>
      </c>
      <c r="B98">
        <f>IF(Items!B$5, IF(Items!B$6, Curves!B98, 1-Curves!B98), 1)</f>
        <v>8.6957856768044017E-5</v>
      </c>
      <c r="C98">
        <f>IF(Items!C$5, IF(Items!C$6, Curves!C98, 1-Curves!C98), 1)</f>
        <v>1.7850750959226058E-2</v>
      </c>
      <c r="D98">
        <f>IF(Items!D$5, IF(Items!D$6, Curves!D98, 1-Curves!D98), 1)</f>
        <v>0.99862168446369692</v>
      </c>
      <c r="E98">
        <f>IF(Items!E$5, IF(Items!E$6, Curves!E98, 1-Curves!E98), 1)</f>
        <v>3.5970185287530487E-3</v>
      </c>
      <c r="F98">
        <f>IF(Items!F$5, IF(Items!F$6, Curves!F98, 1-Curves!F98), 1)</f>
        <v>0.89659954854174695</v>
      </c>
      <c r="G98">
        <f t="shared" si="1"/>
        <v>4.9992804597555463E-9</v>
      </c>
    </row>
    <row r="99" spans="1:7" x14ac:dyDescent="0.45">
      <c r="A99" s="1">
        <v>3.69999999999997</v>
      </c>
      <c r="B99">
        <f>IF(Items!B$5, IF(Items!B$6, Curves!B99, 1-Curves!B99), 1)</f>
        <v>7.3364281637733342E-5</v>
      </c>
      <c r="C99">
        <f>IF(Items!C$5, IF(Items!C$6, Curves!C99, 1-Curves!C99), 1)</f>
        <v>1.634574985124293E-2</v>
      </c>
      <c r="D99">
        <f>IF(Items!D$5, IF(Items!D$6, Curves!D99, 1-Curves!D99), 1)</f>
        <v>0.99884844357898317</v>
      </c>
      <c r="E99">
        <f>IF(Items!E$5, IF(Items!E$6, Curves!E99, 1-Curves!E99), 1)</f>
        <v>2.9473919195488474E-3</v>
      </c>
      <c r="F99">
        <f>IF(Items!F$5, IF(Items!F$6, Curves!F99, 1-Curves!F99), 1)</f>
        <v>0.90720704688283993</v>
      </c>
      <c r="G99">
        <f t="shared" si="1"/>
        <v>3.2028265396812539E-9</v>
      </c>
    </row>
    <row r="100" spans="1:7" x14ac:dyDescent="0.45">
      <c r="A100" s="1">
        <v>3.7999999999999701</v>
      </c>
      <c r="B100">
        <f>IF(Items!B$5, IF(Items!B$6, Curves!B100, 1-Curves!B100), 1)</f>
        <v>6.1895573118753155E-5</v>
      </c>
      <c r="C100">
        <f>IF(Items!C$5, IF(Items!C$6, Curves!C100, 1-Curves!C100), 1)</f>
        <v>1.4965207963484106E-2</v>
      </c>
      <c r="D100">
        <f>IF(Items!D$5, IF(Items!D$6, Curves!D100, 1-Curves!D100), 1)</f>
        <v>0.99903793644780214</v>
      </c>
      <c r="E100">
        <f>IF(Items!E$5, IF(Items!E$6, Curves!E100, 1-Curves!E100), 1)</f>
        <v>2.4147330597668049E-3</v>
      </c>
      <c r="F100">
        <f>IF(Items!F$5, IF(Items!F$6, Curves!F100, 1-Curves!F100), 1)</f>
        <v>0.91682730350607489</v>
      </c>
      <c r="G100">
        <f t="shared" si="1"/>
        <v>2.0487123775755563E-9</v>
      </c>
    </row>
    <row r="101" spans="1:7" x14ac:dyDescent="0.45">
      <c r="A101" s="1">
        <v>3.8999999999999702</v>
      </c>
      <c r="B101">
        <f>IF(Items!B$5, IF(Items!B$6, Curves!B101, 1-Curves!B101), 1)</f>
        <v>5.2219622644344987E-5</v>
      </c>
      <c r="C101">
        <f>IF(Items!C$5, IF(Items!C$6, Curves!C101, 1-Curves!C101), 1)</f>
        <v>1.3699226652582386E-2</v>
      </c>
      <c r="D101">
        <f>IF(Items!D$5, IF(Items!D$6, Curves!D101, 1-Curves!D101), 1)</f>
        <v>0.99919627544593159</v>
      </c>
      <c r="E101">
        <f>IF(Items!E$5, IF(Items!E$6, Curves!E101, 1-Curves!E101), 1)</f>
        <v>1.9780985253079475E-3</v>
      </c>
      <c r="F101">
        <f>IF(Items!F$5, IF(Items!F$6, Curves!F101, 1-Curves!F101), 1)</f>
        <v>0.92553205483396939</v>
      </c>
      <c r="G101">
        <f t="shared" si="1"/>
        <v>1.3086393364103787E-9</v>
      </c>
    </row>
    <row r="102" spans="1:7" x14ac:dyDescent="0.45">
      <c r="A102" s="1">
        <v>3.9999999999999698</v>
      </c>
      <c r="B102">
        <f>IF(Items!B$5, IF(Items!B$6, Curves!B102, 1-Curves!B102), 1)</f>
        <v>4.4056218025612104E-5</v>
      </c>
      <c r="C102">
        <f>IF(Items!C$5, IF(Items!C$6, Curves!C102, 1-Curves!C102), 1)</f>
        <v>1.2538630452839206E-2</v>
      </c>
      <c r="D102">
        <f>IF(Items!D$5, IF(Items!D$6, Curves!D102, 1-Curves!D102), 1)</f>
        <v>0.999328574049547</v>
      </c>
      <c r="E102">
        <f>IF(Items!E$5, IF(Items!E$6, Curves!E102, 1-Curves!E102), 1)</f>
        <v>1.6202563112399648E-3</v>
      </c>
      <c r="F102">
        <f>IF(Items!F$5, IF(Items!F$6, Curves!F102, 1-Curves!F102), 1)</f>
        <v>0.93339196442490713</v>
      </c>
      <c r="G102">
        <f t="shared" si="1"/>
        <v>8.3485951349416656E-10</v>
      </c>
    </row>
    <row r="103" spans="1:7" x14ac:dyDescent="0.45">
      <c r="A103" s="1">
        <v>4.0999999999999703</v>
      </c>
      <c r="B103">
        <f>IF(Items!B$5, IF(Items!B$6, Curves!B103, 1-Curves!B103), 1)</f>
        <v>3.7168937102927124E-5</v>
      </c>
      <c r="C103">
        <f>IF(Items!C$5, IF(Items!C$6, Curves!C103, 1-Curves!C103), 1)</f>
        <v>1.1474924850790824E-2</v>
      </c>
      <c r="D103">
        <f>IF(Items!D$5, IF(Items!D$6, Curves!D103, 1-Curves!D103), 1)</f>
        <v>0.99943910897474075</v>
      </c>
      <c r="E103">
        <f>IF(Items!E$5, IF(Items!E$6, Curves!E103, 1-Curves!E103), 1)</f>
        <v>1.3270408641394837E-3</v>
      </c>
      <c r="F103">
        <f>IF(Items!F$5, IF(Items!F$6, Curves!F103, 1-Curves!F103), 1)</f>
        <v>0.94047563402349643</v>
      </c>
      <c r="G103">
        <f t="shared" si="1"/>
        <v>5.3200801665823063E-10</v>
      </c>
    </row>
    <row r="104" spans="1:7" x14ac:dyDescent="0.45">
      <c r="A104" s="1">
        <v>4.19999999999997</v>
      </c>
      <c r="B104">
        <f>IF(Items!B$5, IF(Items!B$6, Curves!B104, 1-Curves!B104), 1)</f>
        <v>3.1358306721296358E-5</v>
      </c>
      <c r="C104">
        <f>IF(Items!C$5, IF(Items!C$6, Curves!C104, 1-Curves!C104), 1)</f>
        <v>1.0500254669682407E-2</v>
      </c>
      <c r="D104">
        <f>IF(Items!D$5, IF(Items!D$6, Curves!D104, 1-Curves!D104), 1)</f>
        <v>0.99953145633330021</v>
      </c>
      <c r="E104">
        <f>IF(Items!E$5, IF(Items!E$6, Curves!E104, 1-Curves!E104), 1)</f>
        <v>1.0868159603432126E-3</v>
      </c>
      <c r="F104">
        <f>IF(Items!F$5, IF(Items!F$6, Curves!F104, 1-Curves!F104), 1)</f>
        <v>0.94684886360193443</v>
      </c>
      <c r="G104">
        <f t="shared" si="1"/>
        <v>3.3867689725892146E-10</v>
      </c>
    </row>
    <row r="105" spans="1:7" x14ac:dyDescent="0.45">
      <c r="A105" s="1">
        <v>4.2999999999999696</v>
      </c>
      <c r="B105">
        <f>IF(Items!B$5, IF(Items!B$6, Curves!B105, 1-Curves!B105), 1)</f>
        <v>2.6456029787014224E-5</v>
      </c>
      <c r="C105">
        <f>IF(Items!C$5, IF(Items!C$6, Curves!C105, 1-Curves!C105), 1)</f>
        <v>9.6073634479421077E-3</v>
      </c>
      <c r="D105">
        <f>IF(Items!D$5, IF(Items!D$6, Curves!D105, 1-Curves!D105), 1)</f>
        <v>0.99960860586689115</v>
      </c>
      <c r="E105">
        <f>IF(Items!E$5, IF(Items!E$6, Curves!E105, 1-Curves!E105), 1)</f>
        <v>8.9002882628830271E-4</v>
      </c>
      <c r="F105">
        <f>IF(Items!F$5, IF(Items!F$6, Curves!F105, 1-Curves!F105), 1)</f>
        <v>0.95257412682243148</v>
      </c>
      <c r="G105">
        <f t="shared" si="1"/>
        <v>2.1540795209817462E-10</v>
      </c>
    </row>
    <row r="106" spans="1:7" x14ac:dyDescent="0.45">
      <c r="A106" s="1">
        <v>4.3999999999999702</v>
      </c>
      <c r="B106">
        <f>IF(Items!B$5, IF(Items!B$6, Curves!B106, 1-Curves!B106), 1)</f>
        <v>2.2320113834295441E-5</v>
      </c>
      <c r="C106">
        <f>IF(Items!C$5, IF(Items!C$6, Curves!C106, 1-Curves!C106), 1)</f>
        <v>8.7895541044749059E-3</v>
      </c>
      <c r="D106">
        <f>IF(Items!D$5, IF(Items!D$6, Curves!D106, 1-Curves!D106), 1)</f>
        <v>0.99967305671810369</v>
      </c>
      <c r="E106">
        <f>IF(Items!E$5, IF(Items!E$6, Curves!E106, 1-Curves!E106), 1)</f>
        <v>7.2884095552039341E-4</v>
      </c>
      <c r="F106">
        <f>IF(Items!F$5, IF(Items!F$6, Curves!F106, 1-Curves!F106), 1)</f>
        <v>0.9577102281579648</v>
      </c>
      <c r="G106">
        <f t="shared" si="1"/>
        <v>1.3689517162342545E-10</v>
      </c>
    </row>
    <row r="107" spans="1:7" x14ac:dyDescent="0.45">
      <c r="A107" s="1">
        <v>4.4999999999999698</v>
      </c>
      <c r="B107">
        <f>IF(Items!B$5, IF(Items!B$6, Curves!B107, 1-Curves!B107), 1)</f>
        <v>1.8830760452837048E-5</v>
      </c>
      <c r="C107">
        <f>IF(Items!C$5, IF(Items!C$6, Curves!C107, 1-Curves!C107), 1)</f>
        <v>8.0406511067792064E-3</v>
      </c>
      <c r="D107">
        <f>IF(Items!D$5, IF(Items!D$6, Curves!D107, 1-Curves!D107), 1)</f>
        <v>0.99972689767297407</v>
      </c>
      <c r="E107">
        <f>IF(Items!E$5, IF(Items!E$6, Curves!E107, 1-Curves!E107), 1)</f>
        <v>5.9682306706942967E-4</v>
      </c>
      <c r="F107">
        <f>IF(Items!F$5, IF(Items!F$6, Curves!F107, 1-Curves!F107), 1)</f>
        <v>0.96231210949139268</v>
      </c>
      <c r="G107">
        <f t="shared" si="1"/>
        <v>8.6936470551532965E-11</v>
      </c>
    </row>
    <row r="108" spans="1:7" x14ac:dyDescent="0.45">
      <c r="A108" s="1">
        <v>4.5999999999999703</v>
      </c>
      <c r="B108">
        <f>IF(Items!B$5, IF(Items!B$6, Curves!B108, 1-Curves!B108), 1)</f>
        <v>1.5886896833294806E-5</v>
      </c>
      <c r="C108">
        <f>IF(Items!C$5, IF(Items!C$6, Curves!C108, 1-Curves!C108), 1)</f>
        <v>7.3549642938306459E-3</v>
      </c>
      <c r="D108">
        <f>IF(Items!D$5, IF(Items!D$6, Curves!D108, 1-Curves!D108), 1)</f>
        <v>0.99977187435830517</v>
      </c>
      <c r="E108">
        <f>IF(Items!E$5, IF(Items!E$6, Curves!E108, 1-Curves!E108), 1)</f>
        <v>4.8870348754737059E-4</v>
      </c>
      <c r="F108">
        <f>IF(Items!F$5, IF(Items!F$6, Curves!F108, 1-Curves!F108), 1)</f>
        <v>0.96643077671851629</v>
      </c>
      <c r="G108">
        <f t="shared" si="1"/>
        <v>5.5174289493745816E-11</v>
      </c>
    </row>
    <row r="109" spans="1:7" x14ac:dyDescent="0.45">
      <c r="A109" s="1">
        <v>4.69999999999997</v>
      </c>
      <c r="B109">
        <f>IF(Items!B$5, IF(Items!B$6, Curves!B109, 1-Curves!B109), 1)</f>
        <v>1.3403249192633915E-5</v>
      </c>
      <c r="C109">
        <f>IF(Items!C$5, IF(Items!C$6, Curves!C109, 1-Curves!C109), 1)</f>
        <v>6.7272544527705591E-3</v>
      </c>
      <c r="D109">
        <f>IF(Items!D$5, IF(Items!D$6, Curves!D109, 1-Curves!D109), 1)</f>
        <v>0.99980944549051687</v>
      </c>
      <c r="E109">
        <f>IF(Items!E$5, IF(Items!E$6, Curves!E109, 1-Curves!E109), 1)</f>
        <v>4.0016088566363628E-4</v>
      </c>
      <c r="F109">
        <f>IF(Items!F$5, IF(Items!F$6, Curves!F109, 1-Curves!F109), 1)</f>
        <v>0.97011332019636276</v>
      </c>
      <c r="G109">
        <f t="shared" si="1"/>
        <v>3.4996312469900981E-11</v>
      </c>
    </row>
    <row r="110" spans="1:7" x14ac:dyDescent="0.45">
      <c r="A110" s="1">
        <v>4.7999999999999696</v>
      </c>
      <c r="B110">
        <f>IF(Items!B$5, IF(Items!B$6, Curves!B110, 1-Curves!B110), 1)</f>
        <v>1.1307873466259721E-5</v>
      </c>
      <c r="C110">
        <f>IF(Items!C$5, IF(Items!C$6, Curves!C110, 1-Curves!C110), 1)</f>
        <v>6.1527007052066818E-3</v>
      </c>
      <c r="D110">
        <f>IF(Items!D$5, IF(Items!D$6, Curves!D110, 1-Curves!D110), 1)</f>
        <v>0.9998408299430801</v>
      </c>
      <c r="E110">
        <f>IF(Items!E$5, IF(Items!E$6, Curves!E110, 1-Curves!E110), 1)</f>
        <v>3.2765373198873071E-4</v>
      </c>
      <c r="F110">
        <f>IF(Items!F$5, IF(Items!F$6, Curves!F110, 1-Curves!F110), 1)</f>
        <v>0.97340300642313327</v>
      </c>
      <c r="G110">
        <f t="shared" si="1"/>
        <v>2.2186326492781184E-11</v>
      </c>
    </row>
    <row r="111" spans="1:7" x14ac:dyDescent="0.45">
      <c r="A111" s="1">
        <v>4.8999999999999604</v>
      </c>
      <c r="B111">
        <f>IF(Items!B$5, IF(Items!B$6, Curves!B111, 1-Curves!B111), 1)</f>
        <v>9.5400718591598377E-6</v>
      </c>
      <c r="C111">
        <f>IF(Items!C$5, IF(Items!C$6, Curves!C111, 1-Curves!C111), 1)</f>
        <v>5.6268697239962862E-3</v>
      </c>
      <c r="D111">
        <f>IF(Items!D$5, IF(Items!D$6, Curves!D111, 1-Curves!D111), 1)</f>
        <v>0.99986704611950894</v>
      </c>
      <c r="E111">
        <f>IF(Items!E$5, IF(Items!E$6, Curves!E111, 1-Curves!E111), 1)</f>
        <v>2.6828010437318639E-4</v>
      </c>
      <c r="F111">
        <f>IF(Items!F$5, IF(Items!F$6, Curves!F111, 1-Curves!F111), 1)</f>
        <v>0.9763394218445377</v>
      </c>
      <c r="G111">
        <f t="shared" si="1"/>
        <v>1.4058858283317001E-11</v>
      </c>
    </row>
    <row r="112" spans="1:7" x14ac:dyDescent="0.45">
      <c r="A112" s="1">
        <v>4.99999999999996</v>
      </c>
      <c r="B112">
        <f>IF(Items!B$5, IF(Items!B$6, Curves!B112, 1-Curves!B112), 1)</f>
        <v>8.0486349796071721E-6</v>
      </c>
      <c r="C112">
        <f>IF(Items!C$5, IF(Items!C$6, Curves!C112, 1-Curves!C112), 1)</f>
        <v>5.1456867735351075E-3</v>
      </c>
      <c r="D112">
        <f>IF(Items!D$5, IF(Items!D$6, Curves!D112, 1-Curves!D112), 1)</f>
        <v>0.99988894488161228</v>
      </c>
      <c r="E112">
        <f>IF(Items!E$5, IF(Items!E$6, Curves!E112, 1-Curves!E112), 1)</f>
        <v>2.196625248811479E-4</v>
      </c>
      <c r="F112">
        <f>IF(Items!F$5, IF(Items!F$6, Curves!F112, 1-Curves!F112), 1)</f>
        <v>0.97895865297953066</v>
      </c>
      <c r="G112">
        <f t="shared" si="1"/>
        <v>8.9050767246064159E-12</v>
      </c>
    </row>
    <row r="113" spans="1:7" x14ac:dyDescent="0.45">
      <c r="A113" s="1">
        <v>5.0999999999999597</v>
      </c>
      <c r="B113">
        <f>IF(Items!B$5, IF(Items!B$6, Curves!B113, 1-Curves!B113), 1)</f>
        <v>6.7903586979944919E-6</v>
      </c>
      <c r="C113">
        <f>IF(Items!C$5, IF(Items!C$6, Curves!C113, 1-Curves!C113), 1)</f>
        <v>4.7054085447373328E-3</v>
      </c>
      <c r="D113">
        <f>IF(Items!D$5, IF(Items!D$6, Curves!D113, 1-Curves!D113), 1)</f>
        <v>0.99990723708221629</v>
      </c>
      <c r="E113">
        <f>IF(Items!E$5, IF(Items!E$6, Curves!E113, 1-Curves!E113), 1)</f>
        <v>1.7985341618653727E-4</v>
      </c>
      <c r="F113">
        <f>IF(Items!F$5, IF(Items!F$6, Curves!F113, 1-Curves!F113), 1)</f>
        <v>0.98129349004564437</v>
      </c>
      <c r="G113">
        <f t="shared" si="1"/>
        <v>5.6385491948998212E-12</v>
      </c>
    </row>
    <row r="114" spans="1:7" x14ac:dyDescent="0.45">
      <c r="A114" s="1">
        <v>5.1999999999999602</v>
      </c>
      <c r="B114">
        <f>IF(Items!B$5, IF(Items!B$6, Curves!B114, 1-Curves!B114), 1)</f>
        <v>5.7287928070248739E-6</v>
      </c>
      <c r="C114">
        <f>IF(Items!C$5, IF(Items!C$6, Curves!C114, 1-Curves!C114), 1)</f>
        <v>4.3025977390789283E-3</v>
      </c>
      <c r="D114">
        <f>IF(Items!D$5, IF(Items!D$6, Curves!D114, 1-Curves!D114), 1)</f>
        <v>0.9999225165824851</v>
      </c>
      <c r="E114">
        <f>IF(Items!E$5, IF(Items!E$6, Curves!E114, 1-Curves!E114), 1)</f>
        <v>1.472575239707119E-4</v>
      </c>
      <c r="F114">
        <f>IF(Items!F$5, IF(Items!F$6, Curves!F114, 1-Curves!F114), 1)</f>
        <v>0.98337364389211745</v>
      </c>
      <c r="G114">
        <f t="shared" si="1"/>
        <v>3.5690798655083354E-12</v>
      </c>
    </row>
    <row r="115" spans="1:7" x14ac:dyDescent="0.45">
      <c r="A115" s="1">
        <v>5.2999999999999599</v>
      </c>
      <c r="B115">
        <f>IF(Items!B$5, IF(Items!B$6, Curves!B115, 1-Curves!B115), 1)</f>
        <v>4.8331852617877757E-6</v>
      </c>
      <c r="C115">
        <f>IF(Items!C$5, IF(Items!C$6, Curves!C115, 1-Curves!C115), 1)</f>
        <v>3.9340993434884286E-3</v>
      </c>
      <c r="D115">
        <f>IF(Items!D$5, IF(Items!D$6, Curves!D115, 1-Curves!D115), 1)</f>
        <v>0.99993527949160343</v>
      </c>
      <c r="E115">
        <f>IF(Items!E$5, IF(Items!E$6, Curves!E115, 1-Curves!E115), 1)</f>
        <v>1.2056828644757545E-4</v>
      </c>
      <c r="F115">
        <f>IF(Items!F$5, IF(Items!F$6, Curves!F115, 1-Curves!F115), 1)</f>
        <v>0.98522596830672626</v>
      </c>
      <c r="G115">
        <f t="shared" si="1"/>
        <v>2.2584974017027047E-12</v>
      </c>
    </row>
    <row r="116" spans="1:7" x14ac:dyDescent="0.45">
      <c r="A116" s="1">
        <v>5.3999999999999604</v>
      </c>
      <c r="B116">
        <f>IF(Items!B$5, IF(Items!B$6, Curves!B116, 1-Curves!B116), 1)</f>
        <v>4.0775914383894829E-6</v>
      </c>
      <c r="C116">
        <f>IF(Items!C$5, IF(Items!C$6, Curves!C116, 1-Curves!C116), 1)</f>
        <v>3.5970185287530487E-3</v>
      </c>
      <c r="D116">
        <f>IF(Items!D$5, IF(Items!D$6, Curves!D116, 1-Curves!D116), 1)</f>
        <v>0.99994594024687722</v>
      </c>
      <c r="E116">
        <f>IF(Items!E$5, IF(Items!E$6, Curves!E116, 1-Curves!E116), 1)</f>
        <v>9.8715660789006066E-5</v>
      </c>
      <c r="F116">
        <f>IF(Items!F$5, IF(Items!F$6, Curves!F116, 1-Curves!F116), 1)</f>
        <v>0.98687468166289649</v>
      </c>
      <c r="G116">
        <f t="shared" si="1"/>
        <v>1.4287984466408202E-12</v>
      </c>
    </row>
    <row r="117" spans="1:7" x14ac:dyDescent="0.45">
      <c r="A117" s="1">
        <v>5.49999999999996</v>
      </c>
      <c r="B117">
        <f>IF(Items!B$5, IF(Items!B$6, Curves!B117, 1-Curves!B117), 1)</f>
        <v>3.4401226258751194E-6</v>
      </c>
      <c r="C117">
        <f>IF(Items!C$5, IF(Items!C$6, Curves!C117, 1-Curves!C117), 1)</f>
        <v>3.2887000978645275E-3</v>
      </c>
      <c r="D117">
        <f>IF(Items!D$5, IF(Items!D$6, Curves!D117, 1-Curves!D117), 1)</f>
        <v>0.99995484505178456</v>
      </c>
      <c r="E117">
        <f>IF(Items!E$5, IF(Items!E$6, Curves!E117, 1-Curves!E117), 1)</f>
        <v>8.0823355126158347E-5</v>
      </c>
      <c r="F117">
        <f>IF(Items!F$5, IF(Items!F$6, Curves!F117, 1-Curves!F117), 1)</f>
        <v>0.98834158344516632</v>
      </c>
      <c r="G117">
        <f t="shared" si="1"/>
        <v>9.036963474314604E-13</v>
      </c>
    </row>
    <row r="118" spans="1:7" x14ac:dyDescent="0.45">
      <c r="A118" s="1">
        <v>5.5999999999999597</v>
      </c>
      <c r="B118">
        <f>IF(Items!B$5, IF(Items!B$6, Curves!B118, 1-Curves!B118), 1)</f>
        <v>2.9023119851867563E-6</v>
      </c>
      <c r="C118">
        <f>IF(Items!C$5, IF(Items!C$6, Curves!C118, 1-Curves!C118), 1)</f>
        <v>3.0067094068007005E-3</v>
      </c>
      <c r="D118">
        <f>IF(Items!D$5, IF(Items!D$6, Curves!D118, 1-Curves!D118), 1)</f>
        <v>0.99996228310513335</v>
      </c>
      <c r="E118">
        <f>IF(Items!E$5, IF(Items!E$6, Curves!E118, 1-Curves!E118), 1)</f>
        <v>6.6173778281219953E-5</v>
      </c>
      <c r="F118">
        <f>IF(Items!F$5, IF(Items!F$6, Curves!F118, 1-Curves!F118), 1)</f>
        <v>0.98964626246890786</v>
      </c>
      <c r="G118">
        <f t="shared" si="1"/>
        <v>5.714590197123262E-13</v>
      </c>
    </row>
    <row r="119" spans="1:7" x14ac:dyDescent="0.45">
      <c r="A119" s="1">
        <v>5.6999999999999602</v>
      </c>
      <c r="B119">
        <f>IF(Items!B$5, IF(Items!B$6, Curves!B119, 1-Curves!B119), 1)</f>
        <v>2.448579619840352E-6</v>
      </c>
      <c r="C119">
        <f>IF(Items!C$5, IF(Items!C$6, Curves!C119, 1-Curves!C119), 1)</f>
        <v>2.7488146782030931E-3</v>
      </c>
      <c r="D119">
        <f>IF(Items!D$5, IF(Items!D$6, Curves!D119, 1-Curves!D119), 1)</f>
        <v>0.99996849598376503</v>
      </c>
      <c r="E119">
        <f>IF(Items!E$5, IF(Items!E$6, Curves!E119, 1-Curves!E119), 1)</f>
        <v>5.41793196957574E-5</v>
      </c>
      <c r="F119">
        <f>IF(Items!F$5, IF(Items!F$6, Curves!F119, 1-Curves!F119), 1)</f>
        <v>0.99080629463271153</v>
      </c>
      <c r="G119">
        <f t="shared" si="1"/>
        <v>3.6130029313014733E-13</v>
      </c>
    </row>
    <row r="120" spans="1:7" x14ac:dyDescent="0.45">
      <c r="A120" s="1">
        <v>5.7999999999999599</v>
      </c>
      <c r="B120">
        <f>IF(Items!B$5, IF(Items!B$6, Curves!B120, 1-Curves!B120), 1)</f>
        <v>2.0657812664914843E-6</v>
      </c>
      <c r="C120">
        <f>IF(Items!C$5, IF(Items!C$6, Curves!C120, 1-Curves!C120), 1)</f>
        <v>2.5129706278637087E-3</v>
      </c>
      <c r="D120">
        <f>IF(Items!D$5, IF(Items!D$6, Curves!D120, 1-Curves!D120), 1)</f>
        <v>0.99997368548196219</v>
      </c>
      <c r="E120">
        <f>IF(Items!E$5, IF(Items!E$6, Curves!E120, 1-Curves!E120), 1)</f>
        <v>4.4358819778267389E-5</v>
      </c>
      <c r="F120">
        <f>IF(Items!F$5, IF(Items!F$6, Curves!F120, 1-Curves!F120), 1)</f>
        <v>0.99183742884683967</v>
      </c>
      <c r="G120">
        <f t="shared" si="1"/>
        <v>2.2839195113544561E-13</v>
      </c>
    </row>
    <row r="121" spans="1:7" x14ac:dyDescent="0.45">
      <c r="A121" s="1">
        <v>5.8999999999999604</v>
      </c>
      <c r="B121">
        <f>IF(Items!B$5, IF(Items!B$6, Curves!B121, 1-Curves!B121), 1)</f>
        <v>1.7428275361774936E-6</v>
      </c>
      <c r="C121">
        <f>IF(Items!C$5, IF(Items!C$6, Curves!C121, 1-Curves!C121), 1)</f>
        <v>2.2973033245603514E-3</v>
      </c>
      <c r="D121">
        <f>IF(Items!D$5, IF(Items!D$6, Curves!D121, 1-Curves!D121), 1)</f>
        <v>0.99997802016109116</v>
      </c>
      <c r="E121">
        <f>IF(Items!E$5, IF(Items!E$6, Curves!E121, 1-Curves!E121), 1)</f>
        <v>3.6318294961867892E-5</v>
      </c>
      <c r="F121">
        <f>IF(Items!F$5, IF(Items!F$6, Curves!F121, 1-Curves!F121), 1)</f>
        <v>0.9927537604041683</v>
      </c>
      <c r="G121">
        <f t="shared" si="1"/>
        <v>1.4435445803317379E-13</v>
      </c>
    </row>
    <row r="122" spans="1:7" x14ac:dyDescent="0.45">
      <c r="A122" s="1">
        <v>5.99999999999996</v>
      </c>
      <c r="B122">
        <f>IF(Items!B$5, IF(Items!B$6, Curves!B122, 1-Curves!B122), 1)</f>
        <v>1.4703626743939324E-6</v>
      </c>
      <c r="C122">
        <f>IF(Items!C$5, IF(Items!C$6, Curves!C122, 1-Curves!C122), 1)</f>
        <v>2.1000962053283612E-3</v>
      </c>
      <c r="D122">
        <f>IF(Items!D$5, IF(Items!D$6, Curves!D122, 1-Curves!D122), 1)</f>
        <v>0.99998164082144814</v>
      </c>
      <c r="E122">
        <f>IF(Items!E$5, IF(Items!E$6, Curves!E122, 1-Curves!E122), 1)</f>
        <v>2.973514968229729E-5</v>
      </c>
      <c r="F122">
        <f>IF(Items!F$5, IF(Items!F$6, Curves!F122, 1-Curves!F122), 1)</f>
        <v>0.993567891533081</v>
      </c>
      <c r="G122">
        <f t="shared" si="1"/>
        <v>9.1226993755033892E-14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Items</vt:lpstr>
      <vt:lpstr>Curves</vt:lpstr>
      <vt:lpstr>Scored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Brandt Redd</dc:creator>
  <cp:lastModifiedBy>Brandt Redd</cp:lastModifiedBy>
  <dcterms:created xsi:type="dcterms:W3CDTF">2019-12-07T16:18:33Z</dcterms:created>
  <dcterms:modified xsi:type="dcterms:W3CDTF">2020-11-03T07:13:47Z</dcterms:modified>
</cp:coreProperties>
</file>